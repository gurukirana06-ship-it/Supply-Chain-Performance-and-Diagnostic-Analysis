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Supply Chain Management\"/>
    </mc:Choice>
  </mc:AlternateContent>
  <xr:revisionPtr revIDLastSave="0" documentId="13_ncr:1_{8B342325-09BE-4580-8CAD-3C9676809241}" xr6:coauthVersionLast="47" xr6:coauthVersionMax="47" xr10:uidLastSave="{00000000-0000-0000-0000-000000000000}"/>
  <bookViews>
    <workbookView xWindow="-110" yWindow="-110" windowWidth="19420" windowHeight="11500" firstSheet="5" activeTab="7" xr2:uid="{9026D217-9AD8-4220-B6B1-C20CB71002A5}"/>
  </bookViews>
  <sheets>
    <sheet name="Supply_chain_data" sheetId="1" r:id="rId1"/>
    <sheet name="Table2" sheetId="3" r:id="rId2"/>
    <sheet name="Product And Sales" sheetId="4" r:id="rId3"/>
    <sheet name="Inventory Analysis" sheetId="5" r:id="rId4"/>
    <sheet name="Supplier Analysis" sheetId="6" r:id="rId5"/>
    <sheet name="logistic analysis" sheetId="7" r:id="rId6"/>
    <sheet name="Quality Analysis" sheetId="8" r:id="rId7"/>
    <sheet name="Shipping Analysis" sheetId="9" r:id="rId8"/>
  </sheets>
  <definedNames>
    <definedName name="ExternalData_1" localSheetId="1" hidden="1">Table2!$A$1:$AC$101</definedName>
    <definedName name="Slicer_Product_type">#N/A</definedName>
    <definedName name="Slicer_Stock_Level_Category">#N/A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3" l="1"/>
  <c r="L3" i="3"/>
  <c r="L4" i="3"/>
  <c r="L5" i="3"/>
  <c r="L6" i="3"/>
  <c r="M6" i="3" s="1"/>
  <c r="L7" i="3"/>
  <c r="L8" i="3"/>
  <c r="L9" i="3"/>
  <c r="L10" i="3"/>
  <c r="M10" i="3" s="1"/>
  <c r="L11" i="3"/>
  <c r="M11" i="3" s="1"/>
  <c r="L12" i="3"/>
  <c r="M12" i="3" s="1"/>
  <c r="L13" i="3"/>
  <c r="M13" i="3" s="1"/>
  <c r="L14" i="3"/>
  <c r="L15" i="3"/>
  <c r="L16" i="3"/>
  <c r="L17" i="3"/>
  <c r="L18" i="3"/>
  <c r="M18" i="3" s="1"/>
  <c r="L19" i="3"/>
  <c r="L20" i="3"/>
  <c r="L21" i="3"/>
  <c r="L22" i="3"/>
  <c r="L23" i="3"/>
  <c r="M23" i="3" s="1"/>
  <c r="L24" i="3"/>
  <c r="M24" i="3" s="1"/>
  <c r="L25" i="3"/>
  <c r="M25" i="3" s="1"/>
  <c r="L26" i="3"/>
  <c r="L27" i="3"/>
  <c r="L28" i="3"/>
  <c r="L29" i="3"/>
  <c r="L30" i="3"/>
  <c r="M30" i="3" s="1"/>
  <c r="L31" i="3"/>
  <c r="L32" i="3"/>
  <c r="L33" i="3"/>
  <c r="L34" i="3"/>
  <c r="L35" i="3"/>
  <c r="M35" i="3" s="1"/>
  <c r="L36" i="3"/>
  <c r="M36" i="3" s="1"/>
  <c r="L37" i="3"/>
  <c r="M37" i="3" s="1"/>
  <c r="L38" i="3"/>
  <c r="L39" i="3"/>
  <c r="L40" i="3"/>
  <c r="L41" i="3"/>
  <c r="L42" i="3"/>
  <c r="M42" i="3" s="1"/>
  <c r="L43" i="3"/>
  <c r="L44" i="3"/>
  <c r="L45" i="3"/>
  <c r="L46" i="3"/>
  <c r="L47" i="3"/>
  <c r="M47" i="3" s="1"/>
  <c r="L48" i="3"/>
  <c r="M48" i="3" s="1"/>
  <c r="L49" i="3"/>
  <c r="M49" i="3" s="1"/>
  <c r="L50" i="3"/>
  <c r="L51" i="3"/>
  <c r="L52" i="3"/>
  <c r="L53" i="3"/>
  <c r="L54" i="3"/>
  <c r="M54" i="3" s="1"/>
  <c r="L55" i="3"/>
  <c r="L56" i="3"/>
  <c r="L57" i="3"/>
  <c r="L58" i="3"/>
  <c r="L59" i="3"/>
  <c r="M59" i="3" s="1"/>
  <c r="L60" i="3"/>
  <c r="M60" i="3" s="1"/>
  <c r="L61" i="3"/>
  <c r="M61" i="3" s="1"/>
  <c r="L62" i="3"/>
  <c r="L63" i="3"/>
  <c r="L64" i="3"/>
  <c r="L65" i="3"/>
  <c r="L66" i="3"/>
  <c r="M66" i="3" s="1"/>
  <c r="L67" i="3"/>
  <c r="L68" i="3"/>
  <c r="L69" i="3"/>
  <c r="L70" i="3"/>
  <c r="L71" i="3"/>
  <c r="M71" i="3" s="1"/>
  <c r="L72" i="3"/>
  <c r="M72" i="3" s="1"/>
  <c r="L73" i="3"/>
  <c r="M73" i="3" s="1"/>
  <c r="L74" i="3"/>
  <c r="L75" i="3"/>
  <c r="L76" i="3"/>
  <c r="L77" i="3"/>
  <c r="L78" i="3"/>
  <c r="M78" i="3" s="1"/>
  <c r="L79" i="3"/>
  <c r="L80" i="3"/>
  <c r="L81" i="3"/>
  <c r="L82" i="3"/>
  <c r="L83" i="3"/>
  <c r="M83" i="3" s="1"/>
  <c r="L84" i="3"/>
  <c r="M84" i="3" s="1"/>
  <c r="L85" i="3"/>
  <c r="M85" i="3" s="1"/>
  <c r="L86" i="3"/>
  <c r="L87" i="3"/>
  <c r="L88" i="3"/>
  <c r="L89" i="3"/>
  <c r="L90" i="3"/>
  <c r="L91" i="3"/>
  <c r="L92" i="3"/>
  <c r="L93" i="3"/>
  <c r="L94" i="3"/>
  <c r="L95" i="3"/>
  <c r="M95" i="3" s="1"/>
  <c r="L96" i="3"/>
  <c r="M96" i="3" s="1"/>
  <c r="L97" i="3"/>
  <c r="M97" i="3" s="1"/>
  <c r="L98" i="3"/>
  <c r="L99" i="3"/>
  <c r="L100" i="3"/>
  <c r="L101" i="3"/>
  <c r="M2" i="3"/>
  <c r="M3" i="3"/>
  <c r="M4" i="3"/>
  <c r="M5" i="3"/>
  <c r="M7" i="3"/>
  <c r="M8" i="3"/>
  <c r="M9" i="3"/>
  <c r="M14" i="3"/>
  <c r="M15" i="3"/>
  <c r="M16" i="3"/>
  <c r="M17" i="3"/>
  <c r="M19" i="3"/>
  <c r="M20" i="3"/>
  <c r="M21" i="3"/>
  <c r="M22" i="3"/>
  <c r="M26" i="3"/>
  <c r="M27" i="3"/>
  <c r="M28" i="3"/>
  <c r="M29" i="3"/>
  <c r="M31" i="3"/>
  <c r="M32" i="3"/>
  <c r="M33" i="3"/>
  <c r="M34" i="3"/>
  <c r="M38" i="3"/>
  <c r="M39" i="3"/>
  <c r="M40" i="3"/>
  <c r="M41" i="3"/>
  <c r="M43" i="3"/>
  <c r="M44" i="3"/>
  <c r="M45" i="3"/>
  <c r="M46" i="3"/>
  <c r="M50" i="3"/>
  <c r="M51" i="3"/>
  <c r="M52" i="3"/>
  <c r="M53" i="3"/>
  <c r="M55" i="3"/>
  <c r="M56" i="3"/>
  <c r="M57" i="3"/>
  <c r="M58" i="3"/>
  <c r="M62" i="3"/>
  <c r="M63" i="3"/>
  <c r="M64" i="3"/>
  <c r="M65" i="3"/>
  <c r="M67" i="3"/>
  <c r="M68" i="3"/>
  <c r="M69" i="3"/>
  <c r="M70" i="3"/>
  <c r="M74" i="3"/>
  <c r="M75" i="3"/>
  <c r="M76" i="3"/>
  <c r="M77" i="3"/>
  <c r="M79" i="3"/>
  <c r="M80" i="3"/>
  <c r="M81" i="3"/>
  <c r="M82" i="3"/>
  <c r="M86" i="3"/>
  <c r="M87" i="3"/>
  <c r="M88" i="3"/>
  <c r="M89" i="3"/>
  <c r="M90" i="3"/>
  <c r="M91" i="3"/>
  <c r="M92" i="3"/>
  <c r="M93" i="3"/>
  <c r="M94" i="3"/>
  <c r="M98" i="3"/>
  <c r="M99" i="3"/>
  <c r="M100" i="3"/>
  <c r="M101"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658E61-7E21-4358-959A-43480EDA65FF}"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<sst xmlns="http://schemas.openxmlformats.org/spreadsheetml/2006/main" count="2519" uniqueCount="200">
  <si>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</si>
  <si>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</si>
  <si>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</si>
  <si>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</si>
  <si>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</si>
  <si>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</si>
  <si>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</si>
  <si>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</si>
  <si>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</si>
  <si>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</si>
  <si>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</si>
  <si>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</si>
  <si>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</si>
  <si>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</si>
  <si>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</si>
  <si>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</si>
  <si>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</si>
  <si>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</si>
  <si>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</si>
  <si>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</si>
  <si>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</si>
  <si>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</si>
  <si>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</si>
  <si>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</si>
  <si>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</si>
  <si>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</si>
  <si>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</si>
  <si>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</si>
  <si>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</si>
  <si>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</si>
  <si>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</si>
  <si>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</si>
  <si>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</si>
  <si>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</si>
  <si>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</si>
  <si>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</si>
  <si>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</si>
  <si>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</si>
  <si>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</si>
  <si>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</si>
  <si>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</si>
  <si>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</si>
  <si>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</si>
  <si>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</si>
  <si>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</si>
  <si>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</si>
  <si>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</si>
  <si>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</si>
  <si>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</si>
  <si>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</si>
  <si>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</si>
  <si>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</si>
  <si>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</si>
  <si>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</si>
  <si>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</si>
  <si>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</si>
  <si>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</si>
  <si>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</si>
  <si>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</si>
  <si>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</si>
  <si>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</si>
  <si>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</si>
  <si>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</si>
  <si>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</si>
  <si>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</si>
  <si>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</si>
  <si>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</si>
  <si>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</si>
  <si>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</si>
  <si>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</si>
  <si>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</si>
  <si>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</si>
  <si>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</si>
  <si>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</si>
  <si>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</si>
  <si>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</si>
  <si>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</si>
  <si>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</si>
  <si>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</si>
  <si>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</si>
  <si>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</si>
  <si>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</si>
  <si>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</si>
  <si>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</si>
  <si>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</si>
  <si>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</si>
  <si>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</si>
  <si>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</si>
  <si>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</si>
  <si>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</si>
  <si>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</si>
  <si>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</si>
  <si>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</si>
  <si>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</si>
  <si>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</si>
  <si>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</si>
  <si>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</si>
  <si>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</si>
  <si>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</si>
  <si>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</si>
  <si>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</si>
  <si>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</si>
  <si>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</si>
  <si>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</si>
  <si>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</si>
  <si>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</si>
  <si>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</si>
  <si>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</si>
  <si>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</si>
  <si>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</si>
  <si>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</si>
  <si>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</si>
  <si>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</si>
  <si>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</si>
  <si>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</si>
  <si>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</si>
  <si>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</si>
  <si>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</si>
  <si>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</si>
  <si>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</si>
  <si>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</si>
  <si>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</si>
  <si>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</si>
  <si>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</si>
  <si>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</si>
  <si>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</si>
  <si>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</si>
  <si>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</si>
  <si>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</si>
  <si>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</si>
  <si>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</si>
  <si>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</si>
  <si>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</si>
  <si>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</si>
  <si>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</si>
  <si>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</si>
  <si>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</si>
  <si>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</si>
  <si>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</si>
  <si>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</si>
  <si>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</si>
  <si>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</si>
  <si>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</si>
  <si>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</si>
  <si>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</si>
  <si>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</si>
  <si>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</si>
  <si>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</si>
  <si>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</si>
  <si>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</si>
  <si>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</si>
  <si>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</si>
  <si>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</si>
  <si>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</si>
  <si>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Defect Rates%</t>
  </si>
  <si>
    <t>Haircare</t>
  </si>
  <si>
    <t>Skincare</t>
  </si>
  <si>
    <t>Cosmetics</t>
  </si>
  <si>
    <t>Row Labels</t>
  </si>
  <si>
    <t>Grand Total</t>
  </si>
  <si>
    <t>Sum of Revenue generated</t>
  </si>
  <si>
    <t>Product And Sales</t>
  </si>
  <si>
    <t>Inventory</t>
  </si>
  <si>
    <t>Supplier Data</t>
  </si>
  <si>
    <t>Quality</t>
  </si>
  <si>
    <t>Transport</t>
  </si>
  <si>
    <t>Sum of Number of products sold</t>
  </si>
  <si>
    <t>Sum of Availability</t>
  </si>
  <si>
    <t>Column Labels</t>
  </si>
  <si>
    <t>Average of Price</t>
  </si>
  <si>
    <t>Column 1</t>
  </si>
  <si>
    <t>Column 2</t>
  </si>
  <si>
    <t>Sum of Stock levels</t>
  </si>
  <si>
    <t>Average of Order quantities</t>
  </si>
  <si>
    <t>Stock Level Category</t>
  </si>
  <si>
    <t>Critical Stock</t>
  </si>
  <si>
    <t>Low stocked</t>
  </si>
  <si>
    <t>Optimal Stock</t>
  </si>
  <si>
    <t>OverStocked</t>
  </si>
  <si>
    <t>Count of SKU</t>
  </si>
  <si>
    <t>Average of Lead time</t>
  </si>
  <si>
    <t>Average of Manufacturing lead time</t>
  </si>
  <si>
    <t>Average of Manufacturing costs</t>
  </si>
  <si>
    <t>Average of Production volumes</t>
  </si>
  <si>
    <t>Average of Defect rates</t>
  </si>
  <si>
    <t>Average of Lead times</t>
  </si>
  <si>
    <t>Average of Costs</t>
  </si>
  <si>
    <t>Lead Time Risk</t>
  </si>
  <si>
    <t>High</t>
  </si>
  <si>
    <t>Low</t>
  </si>
  <si>
    <t>Medium</t>
  </si>
  <si>
    <t>Inventory Movement Index</t>
  </si>
  <si>
    <t>Inventory movement</t>
  </si>
  <si>
    <t>Normal</t>
  </si>
  <si>
    <t>Slow Moving</t>
  </si>
  <si>
    <t>Fast Moving</t>
  </si>
  <si>
    <t>Average of Shipping costs</t>
  </si>
  <si>
    <t>Average of Shipping times</t>
  </si>
  <si>
    <t>Sum of Shipping costs</t>
  </si>
  <si>
    <t>Sum of Manufacturing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</si>
</sst>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99"/>
        <bgColor indexed="64"/>
      </patternFill>
    </fill>
    <fill>
      <patternFill patternType="solid">
        <fgColor theme="0" tint="-0.24997711111789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33" borderId="0" xfId="0" applyFill="1"/>
    <xf numFmtId="164" fontId="0" fillId="33" borderId="0" xfId="0" applyNumberFormat="1" applyFill="1"/>
    <xf numFmtId="1" fontId="0" fillId="34" borderId="0" xfId="0" applyNumberFormat="1" applyFill="1"/>
    <xf numFmtId="0" fontId="0" fillId="34" borderId="0" xfId="0" applyFill="1"/>
    <xf numFmtId="164" fontId="0" fillId="34" borderId="0" xfId="0" applyNumberFormat="1" applyFill="1"/>
    <xf numFmtId="0" fontId="0" fillId="35" borderId="0" xfId="0" applyFill="1"/>
    <xf numFmtId="1" fontId="0" fillId="35" borderId="0" xfId="0" applyNumberFormat="1" applyFill="1"/>
    <xf numFmtId="164" fontId="0" fillId="35" borderId="0" xfId="0" applyNumberFormat="1" applyFill="1"/>
    <xf numFmtId="0" fontId="0" fillId="36" borderId="0" xfId="0" applyFill="1"/>
    <xf numFmtId="0" fontId="0" fillId="37" borderId="0" xfId="0" applyFill="1"/>
    <xf numFmtId="164" fontId="0" fillId="37" borderId="0" xfId="0" applyNumberFormat="1" applyFill="1"/>
    <xf numFmtId="0" fontId="0" fillId="0" borderId="10" xfId="0" applyBorder="1"/>
    <xf numFmtId="0" fontId="18" fillId="0" borderId="11"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164" formatCode="&quot;₹&quot;\ #,##0.00"/>
      <fill>
        <patternFill patternType="solid">
          <fgColor indexed="64"/>
          <bgColor theme="0" tint="-0.249977111117893"/>
        </patternFill>
      </fill>
    </dxf>
    <dxf>
      <numFmt numFmtId="0" formatCode="General"/>
      <fill>
        <patternFill patternType="solid">
          <fgColor indexed="64"/>
          <bgColor theme="0" tint="-0.249977111117893"/>
        </patternFill>
      </fill>
    </dxf>
    <dxf>
      <numFmt numFmtId="0" formatCode="General"/>
      <fill>
        <patternFill patternType="solid">
          <fgColor indexed="64"/>
          <bgColor theme="0" tint="-0.249977111117893"/>
        </patternFill>
      </fill>
    </dxf>
    <dxf>
      <fill>
        <patternFill patternType="solid">
          <fgColor indexed="64"/>
          <bgColor rgb="FFFFFF99"/>
        </patternFill>
      </fill>
    </dxf>
    <dxf>
      <fill>
        <patternFill patternType="solid">
          <fgColor indexed="64"/>
          <bgColor rgb="FFFFFF99"/>
        </patternFill>
      </fill>
    </dxf>
    <dxf>
      <numFmt numFmtId="0" formatCode="General"/>
      <fill>
        <patternFill patternType="solid">
          <fgColor indexed="64"/>
          <bgColor rgb="FFFFFF99"/>
        </patternFill>
      </fill>
    </dxf>
    <dxf>
      <numFmt numFmtId="164" formatCode="&quot;₹&quot;\ #,##0.00"/>
      <fill>
        <patternFill patternType="solid">
          <fgColor indexed="64"/>
          <bgColor theme="9" tint="0.79998168889431442"/>
        </patternFill>
      </fill>
    </dxf>
    <dxf>
      <numFmt numFmtId="1" formatCode="0"/>
      <fill>
        <patternFill patternType="solid">
          <fgColor indexed="64"/>
          <bgColor theme="9" tint="0.79998168889431442"/>
        </patternFill>
      </fill>
    </dxf>
    <dxf>
      <numFmt numFmtId="1" formatCode="0"/>
      <fill>
        <patternFill patternType="solid">
          <fgColor indexed="64"/>
          <bgColor theme="9" tint="0.79998168889431442"/>
        </patternFill>
      </fill>
    </dxf>
    <dxf>
      <numFmt numFmtId="1" formatCode="0"/>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164" formatCode="&quot;₹&quot;\ #,##0.00"/>
      <fill>
        <patternFill patternType="solid">
          <fgColor indexed="64"/>
          <bgColor theme="5" tint="0.79998168889431442"/>
        </patternFill>
      </fill>
    </dxf>
    <dxf>
      <numFmt numFmtId="0" formatCode="General"/>
      <fill>
        <patternFill patternType="solid">
          <fgColor indexed="64"/>
          <bgColor theme="5" tint="0.79998168889431442"/>
        </patternFill>
      </fill>
    </dxf>
    <dxf>
      <numFmt numFmtId="1" formatCode="0"/>
      <fill>
        <patternFill patternType="solid">
          <fgColor indexed="64"/>
          <bgColor theme="5" tint="0.79998168889431442"/>
        </patternFill>
      </fill>
    </dxf>
    <dxf>
      <numFmt numFmtId="1" formatCode="0"/>
      <fill>
        <patternFill patternType="solid">
          <fgColor indexed="64"/>
          <bgColor theme="5" tint="0.79998168889431442"/>
        </patternFill>
      </fill>
    </dxf>
    <dxf>
      <numFmt numFmtId="1" formatCode="0"/>
      <fill>
        <patternFill patternType="solid">
          <fgColor indexed="64"/>
          <bgColor theme="5" tint="0.79998168889431442"/>
        </patternFill>
      </fill>
    </dxf>
    <dxf>
      <numFmt numFmtId="1" formatCode="0"/>
      <fill>
        <patternFill patternType="solid">
          <fgColor indexed="64"/>
          <bgColor theme="5" tint="0.79998168889431442"/>
        </patternFill>
      </fill>
    </dxf>
    <dxf>
      <numFmt numFmtId="1" formatCode="0"/>
      <fill>
        <patternFill patternType="solid">
          <fgColor indexed="64"/>
          <bgColor theme="5" tint="0.79998168889431442"/>
        </patternFill>
      </fill>
    </dxf>
    <dxf>
      <numFmt numFmtId="1" formatCode="0"/>
      <fill>
        <patternFill patternType="solid">
          <fgColor indexed="64"/>
          <bgColor theme="5" tint="0.79998168889431442"/>
        </patternFill>
      </fill>
    </dxf>
    <dxf>
      <numFmt numFmtId="1" formatCode="0"/>
      <fill>
        <patternFill patternType="solid">
          <fgColor indexed="64"/>
          <bgColor theme="5" tint="0.79998168889431442"/>
        </patternFill>
      </fill>
    </dxf>
    <dxf>
      <numFmt numFmtId="1" formatCode="0"/>
      <fill>
        <patternFill patternType="solid">
          <fgColor indexed="64"/>
          <bgColor theme="5" tint="0.79998168889431442"/>
        </patternFill>
      </fill>
    </dxf>
    <dxf>
      <numFmt numFmtId="0" formatCode="General"/>
      <fill>
        <patternFill patternType="solid">
          <fgColor indexed="64"/>
          <bgColor theme="3" tint="0.89999084444715716"/>
        </patternFill>
      </fill>
    </dxf>
    <dxf>
      <numFmt numFmtId="164" formatCode="&quot;₹&quot;\ #,##0.00"/>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numFmt numFmtId="164" formatCode="&quot;₹&quot;\ #,##0.00"/>
      <fill>
        <patternFill patternType="solid">
          <fgColor indexed="64"/>
          <bgColor theme="3" tint="0.89999084444715716"/>
        </patternFill>
      </fill>
    </dxf>
    <dxf>
      <numFmt numFmtId="0" formatCode="General"/>
      <fill>
        <patternFill patternType="solid">
          <fgColor indexed="64"/>
          <bgColor theme="3" tint="0.89999084444715716"/>
        </patternFill>
      </fill>
    </dxf>
    <dxf>
      <numFmt numFmtId="0" formatCode="General"/>
      <fill>
        <patternFill patternType="solid">
          <fgColor indexed="64"/>
          <bgColor theme="3" tint="0.89999084444715716"/>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3</xdr:col>
      <xdr:colOff>114300</xdr:colOff>
      <xdr:row>22</xdr:row>
      <xdr:rowOff>95250</xdr:rowOff>
    </xdr:from>
    <xdr:to>
      <xdr:col>5</xdr:col>
      <xdr:colOff>88900</xdr:colOff>
      <xdr:row>30</xdr:row>
      <xdr:rowOff>127000</xdr:rowOff>
    </xdr:to>
    <mc:AlternateContent xmlns:mc="http://schemas.openxmlformats.org/markup-compatibility/2006" xmlns:a14="http://schemas.microsoft.com/office/drawing/2010/main">
      <mc:Choice Requires="a14">
        <xdr:graphicFrame macro="">
          <xdr:nvGraphicFramePr>
            <xdr:cNvPr id="2" name="Product type">
              <a:extLst>
                <a:ext uri="{FF2B5EF4-FFF2-40B4-BE49-F238E27FC236}">
                  <a16:creationId xmlns:a16="http://schemas.microsoft.com/office/drawing/2014/main" id="{0669C2CF-99CE-DC6A-0E8A-8A5B4148A6EB}"/>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3594100" y="4146550"/>
              <a:ext cx="1828800" cy="1517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31750</xdr:colOff>
      <xdr:row>14</xdr:row>
      <xdr:rowOff>101600</xdr:rowOff>
    </xdr:from>
    <xdr:to>
      <xdr:col>11</xdr:col>
      <xdr:colOff>171450</xdr:colOff>
      <xdr:row>23</xdr:row>
      <xdr:rowOff>31750</xdr:rowOff>
    </xdr:to>
    <mc:AlternateContent xmlns:mc="http://schemas.openxmlformats.org/markup-compatibility/2006" xmlns:a14="http://schemas.microsoft.com/office/drawing/2010/main">
      <mc:Choice Requires="a14">
        <xdr:graphicFrame macro="">
          <xdr:nvGraphicFramePr>
            <xdr:cNvPr id="2" name="Stock Level Category">
              <a:extLst>
                <a:ext uri="{FF2B5EF4-FFF2-40B4-BE49-F238E27FC236}">
                  <a16:creationId xmlns:a16="http://schemas.microsoft.com/office/drawing/2014/main" id="{88CA047B-DE23-1E92-7AB3-0D3696803F34}"/>
                </a:ext>
              </a:extLst>
            </xdr:cNvPr>
            <xdr:cNvGraphicFramePr/>
          </xdr:nvGraphicFramePr>
          <xdr:xfrm>
            <a:off x="0" y="0"/>
            <a:ext cx="0" cy="0"/>
          </xdr:xfrm>
          <a:graphic>
            <a:graphicData uri="http://schemas.microsoft.com/office/drawing/2010/slicer">
              <sle:slicer xmlns:sle="http://schemas.microsoft.com/office/drawing/2010/slicer" name="Stock Level Category"/>
            </a:graphicData>
          </a:graphic>
        </xdr:graphicFrame>
      </mc:Choice>
      <mc:Fallback xmlns="">
        <xdr:sp macro="" textlink="">
          <xdr:nvSpPr>
            <xdr:cNvPr id="0" name=""/>
            <xdr:cNvSpPr>
              <a:spLocks noTextEdit="1"/>
            </xdr:cNvSpPr>
          </xdr:nvSpPr>
          <xdr:spPr>
            <a:xfrm>
              <a:off x="8972550" y="2679700"/>
              <a:ext cx="1828800" cy="1587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h A" refreshedDate="46180.995649999997" createdVersion="8" refreshedVersion="8" minRefreshableVersion="3" recordCount="100" xr:uid="{DC666FA1-D79B-462C-A50A-1A216A844E42}">
  <cacheSource type="worksheet">
    <worksheetSource name="Table2_1"/>
  </cacheSource>
  <cacheFields count="29">
    <cacheField name="Product type" numFmtId="0">
      <sharedItems count="3">
        <s v="Haircare"/>
        <s v="Skincare"/>
        <s v="Cosmetics"/>
      </sharedItems>
    </cacheField>
    <cacheField name="SKU" numFmtId="0">
      <sharedItems count="1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Price" numFmtId="164">
      <sharedItems containsSemiMixedTypes="0" containsString="0" containsNumber="1" minValue="1.7" maxValue="99.171300000000002"/>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164">
      <sharedItems containsSemiMixedTypes="0" containsString="0" containsNumber="1" minValue="1061.6185" maxValue="9866.4655000000002"/>
    </cacheField>
    <cacheField name="Customer demographics" numFmtId="0">
      <sharedItems count="4">
        <s v="Non-binary"/>
        <s v="Female"/>
        <s v="Unknown"/>
        <s v="Male"/>
      </sharedItems>
    </cacheField>
    <cacheField name="Stock levels" numFmtId="1">
      <sharedItems containsSemiMixedTypes="0" containsString="0" containsNumber="1" containsInteger="1" minValue="0" maxValue="100"/>
    </cacheField>
    <cacheField name="Stock Level Category" numFmtId="1">
      <sharedItems count="4">
        <s v="Optimal Stock"/>
        <s v="Critical Stock"/>
        <s v="Low stocked"/>
        <s v="OverStocked"/>
      </sharedItems>
    </cacheField>
    <cacheField name="Lead times" numFmtId="1">
      <sharedItems containsSemiMixedTypes="0" containsString="0" containsNumber="1" containsInteger="1" minValue="1" maxValue="30"/>
    </cacheField>
    <cacheField name="Lead Time Risk" numFmtId="1">
      <sharedItems count="3">
        <s v="Low"/>
        <s v="High"/>
        <s v="Medium"/>
      </sharedItems>
    </cacheField>
    <cacheField name="Inventory Movement Index" numFmtId="1">
      <sharedItems containsSemiMixedTypes="0" containsString="0" containsNumber="1" minValue="0" maxValue="88"/>
    </cacheField>
    <cacheField name="Inventory movement" numFmtId="1">
      <sharedItems count="3">
        <s v="Normal"/>
        <s v="Slow Moving"/>
        <s v="Fast Moving"/>
      </sharedItems>
    </cacheField>
    <cacheField name="Order quantities" numFmtId="1">
      <sharedItems containsSemiMixedTypes="0" containsString="0" containsNumber="1" containsInteger="1" minValue="1" maxValue="96"/>
    </cacheField>
    <cacheField name="Shipping times" numFmtId="1">
      <sharedItems containsSemiMixedTypes="0" containsString="0" containsNumber="1" containsInteger="1" minValue="1" maxValue="10"/>
    </cacheField>
    <cacheField name="Shipping carriers" numFmtId="0">
      <sharedItems count="3">
        <s v="Carrier B"/>
        <s v="Carrier A"/>
        <s v="Carrier C"/>
      </sharedItems>
    </cacheField>
    <cacheField name="Shipping costs" numFmtId="164">
      <sharedItems containsSemiMixedTypes="0" containsString="0" containsNumber="1" minValue="1.0135000000000001" maxValue="9.9298000000000002"/>
    </cacheField>
    <cacheField name="Supplier name" numFmtId="0">
      <sharedItems count="5">
        <s v="Supplier 3"/>
        <s v="Supplier 1"/>
        <s v="Supplier 5"/>
        <s v="Supplier 4"/>
        <s v="Supplier 2"/>
      </sharedItems>
    </cacheField>
    <cacheField name="Location" numFmtId="0">
      <sharedItems count="5">
        <s v="Mumbai"/>
        <s v="Kolkata"/>
        <s v="Delhi"/>
        <s v="Bangalore"/>
        <s v="Chennai"/>
      </sharedItems>
    </cacheField>
    <cacheField name="Lead time" numFmtId="1">
      <sharedItems containsSemiMixedTypes="0" containsString="0" containsNumber="1" containsInteger="1" minValue="1" maxValue="30"/>
    </cacheField>
    <cacheField name="Production volumes" numFmtId="1">
      <sharedItems containsSemiMixedTypes="0" containsString="0" containsNumber="1" containsInteger="1" minValue="104" maxValue="985"/>
    </cacheField>
    <cacheField name="Manufacturing lead time" numFmtId="1">
      <sharedItems containsSemiMixedTypes="0" containsString="0" containsNumber="1" containsInteger="1" minValue="1" maxValue="30"/>
    </cacheField>
    <cacheField name="Manufacturing costs" numFmtId="164">
      <sharedItems containsSemiMixedTypes="0" containsString="0" containsNumber="1" minValue="1.0851" maxValue="99.466099999999997"/>
    </cacheField>
    <cacheField name="Inspection results" numFmtId="0">
      <sharedItems count="3">
        <s v="Pending"/>
        <s v="Fail"/>
        <s v="Pass"/>
      </sharedItems>
    </cacheField>
    <cacheField name="Defect rates" numFmtId="0">
      <sharedItems containsSemiMixedTypes="0" containsString="0" containsNumber="1" minValue="1.8608E-2" maxValue="4.9392550000000002"/>
    </cacheField>
    <cacheField name="Defect Rates%" numFmtId="0">
      <sharedItems containsSemiMixedTypes="0" containsString="0" containsNumber="1" minValue="1.86" maxValue="493.93"/>
    </cacheField>
    <cacheField name="Transportation modes" numFmtId="0">
      <sharedItems count="4">
        <s v="Road"/>
        <s v="Air"/>
        <s v="Rail"/>
        <s v="Sea"/>
      </sharedItems>
    </cacheField>
    <cacheField name="Routes" numFmtId="0">
      <sharedItems count="3">
        <s v="Route B"/>
        <s v="Route C"/>
        <s v="Route A"/>
      </sharedItems>
    </cacheField>
    <cacheField name="Costs" numFmtId="164">
      <sharedItems containsSemiMixedTypes="0" containsString="0" containsNumber="1" minValue="103.9162" maxValue="997.41340000000002"/>
    </cacheField>
  </cacheFields>
  <extLst>
    <ext xmlns:x14="http://schemas.microsoft.com/office/spreadsheetml/2009/9/main" uri="{725AE2AE-9491-48be-B2B4-4EB974FC3084}">
      <x14:pivotCacheDefinition pivotCacheId="12047725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69.808000000000007"/>
    <n v="55"/>
    <n v="802"/>
    <n v="8661.9968000000008"/>
    <x v="0"/>
    <n v="58"/>
    <x v="0"/>
    <n v="7"/>
    <x v="0"/>
    <n v="1.6551724137931034"/>
    <x v="0"/>
    <n v="96"/>
    <n v="4"/>
    <x v="0"/>
    <n v="2.9565999999999999"/>
    <x v="0"/>
    <x v="0"/>
    <n v="29"/>
    <n v="215"/>
    <n v="29"/>
    <n v="46.279899999999998"/>
    <x v="0"/>
    <n v="0.22641"/>
    <n v="22.64"/>
    <x v="0"/>
    <x v="0"/>
    <n v="187.75210000000001"/>
  </r>
  <r>
    <x v="1"/>
    <x v="1"/>
    <n v="14.843500000000001"/>
    <n v="95"/>
    <n v="736"/>
    <n v="7460.9000999999998"/>
    <x v="1"/>
    <n v="53"/>
    <x v="0"/>
    <n v="30"/>
    <x v="1"/>
    <n v="0.69811320754716977"/>
    <x v="1"/>
    <n v="37"/>
    <n v="2"/>
    <x v="1"/>
    <n v="9.7165999999999997"/>
    <x v="0"/>
    <x v="0"/>
    <n v="23"/>
    <n v="517"/>
    <n v="30"/>
    <n v="33.616799999999998"/>
    <x v="0"/>
    <n v="4.8540679999999998"/>
    <n v="485.41"/>
    <x v="0"/>
    <x v="0"/>
    <n v="503.06560000000002"/>
  </r>
  <r>
    <x v="0"/>
    <x v="2"/>
    <n v="11.319699999999999"/>
    <n v="34"/>
    <n v="8"/>
    <n v="9577.7495999999992"/>
    <x v="2"/>
    <n v="1"/>
    <x v="1"/>
    <n v="10"/>
    <x v="2"/>
    <n v="88"/>
    <x v="2"/>
    <n v="88"/>
    <n v="2"/>
    <x v="0"/>
    <n v="8.0545000000000009"/>
    <x v="1"/>
    <x v="0"/>
    <n v="12"/>
    <n v="971"/>
    <n v="27"/>
    <n v="30.687999999999999"/>
    <x v="0"/>
    <n v="4.5805930000000004"/>
    <n v="458.06"/>
    <x v="1"/>
    <x v="1"/>
    <n v="141.9203"/>
  </r>
  <r>
    <x v="1"/>
    <x v="3"/>
    <n v="61.1633"/>
    <n v="68"/>
    <n v="83"/>
    <n v="7766.8364000000001"/>
    <x v="0"/>
    <n v="23"/>
    <x v="2"/>
    <n v="13"/>
    <x v="2"/>
    <n v="2.5652173913043477"/>
    <x v="2"/>
    <n v="59"/>
    <n v="6"/>
    <x v="2"/>
    <n v="1.7296"/>
    <x v="2"/>
    <x v="1"/>
    <n v="24"/>
    <n v="937"/>
    <n v="18"/>
    <n v="35.624699999999997"/>
    <x v="1"/>
    <n v="4.7466489999999997"/>
    <n v="474.66"/>
    <x v="2"/>
    <x v="2"/>
    <n v="254.77619999999999"/>
  </r>
  <r>
    <x v="1"/>
    <x v="4"/>
    <n v="4.8055000000000003"/>
    <n v="26"/>
    <n v="871"/>
    <n v="2686.5052000000001"/>
    <x v="0"/>
    <n v="5"/>
    <x v="1"/>
    <n v="3"/>
    <x v="0"/>
    <n v="11.2"/>
    <x v="2"/>
    <n v="56"/>
    <n v="8"/>
    <x v="1"/>
    <n v="3.8904999999999998"/>
    <x v="1"/>
    <x v="2"/>
    <n v="5"/>
    <n v="414"/>
    <n v="3"/>
    <n v="92.065200000000004"/>
    <x v="1"/>
    <n v="3.1455799999999998"/>
    <n v="314.56"/>
    <x v="1"/>
    <x v="2"/>
    <n v="923.44060000000002"/>
  </r>
  <r>
    <x v="0"/>
    <x v="5"/>
    <n v="1.7"/>
    <n v="87"/>
    <n v="147"/>
    <n v="2828.3487"/>
    <x v="0"/>
    <n v="90"/>
    <x v="3"/>
    <n v="27"/>
    <x v="1"/>
    <n v="0.73333333333333328"/>
    <x v="1"/>
    <n v="66"/>
    <n v="3"/>
    <x v="0"/>
    <n v="4.4440999999999997"/>
    <x v="3"/>
    <x v="3"/>
    <n v="10"/>
    <n v="104"/>
    <n v="17"/>
    <n v="56.766500000000001"/>
    <x v="1"/>
    <n v="2.7791939999999999"/>
    <n v="277.92"/>
    <x v="0"/>
    <x v="2"/>
    <n v="235.46119999999999"/>
  </r>
  <r>
    <x v="1"/>
    <x v="6"/>
    <n v="4.0782999999999996"/>
    <n v="48"/>
    <n v="65"/>
    <n v="7823.4766"/>
    <x v="3"/>
    <n v="11"/>
    <x v="1"/>
    <n v="15"/>
    <x v="2"/>
    <n v="5.2727272727272725"/>
    <x v="2"/>
    <n v="58"/>
    <n v="8"/>
    <x v="2"/>
    <n v="3.8807999999999998"/>
    <x v="0"/>
    <x v="1"/>
    <n v="14"/>
    <n v="314"/>
    <n v="24"/>
    <n v="1.0851"/>
    <x v="0"/>
    <n v="1.0009110000000001"/>
    <n v="100.09"/>
    <x v="3"/>
    <x v="2"/>
    <n v="134.3691"/>
  </r>
  <r>
    <x v="2"/>
    <x v="7"/>
    <n v="42.958399999999997"/>
    <n v="59"/>
    <n v="426"/>
    <n v="8496.1038000000008"/>
    <x v="1"/>
    <n v="93"/>
    <x v="3"/>
    <n v="17"/>
    <x v="2"/>
    <n v="0.11827956989247312"/>
    <x v="1"/>
    <n v="11"/>
    <n v="1"/>
    <x v="0"/>
    <n v="2.3483000000000001"/>
    <x v="3"/>
    <x v="3"/>
    <n v="22"/>
    <n v="564"/>
    <n v="1"/>
    <n v="99.466099999999997"/>
    <x v="1"/>
    <n v="0.398177"/>
    <n v="39.82"/>
    <x v="0"/>
    <x v="1"/>
    <n v="802.05629999999996"/>
  </r>
  <r>
    <x v="2"/>
    <x v="8"/>
    <n v="68.717600000000004"/>
    <n v="78"/>
    <n v="150"/>
    <n v="7517.3631999999998"/>
    <x v="1"/>
    <n v="5"/>
    <x v="1"/>
    <n v="10"/>
    <x v="2"/>
    <n v="3"/>
    <x v="2"/>
    <n v="15"/>
    <n v="7"/>
    <x v="2"/>
    <n v="3.4047000000000001"/>
    <x v="3"/>
    <x v="0"/>
    <n v="13"/>
    <n v="769"/>
    <n v="8"/>
    <n v="11.423"/>
    <x v="0"/>
    <n v="2.7098629999999999"/>
    <n v="270.99"/>
    <x v="3"/>
    <x v="0"/>
    <n v="505.55709999999999"/>
  </r>
  <r>
    <x v="1"/>
    <x v="9"/>
    <n v="64.015699999999995"/>
    <n v="35"/>
    <n v="980"/>
    <n v="4971.1459999999997"/>
    <x v="2"/>
    <n v="14"/>
    <x v="1"/>
    <n v="27"/>
    <x v="1"/>
    <n v="5.9285714285714288"/>
    <x v="2"/>
    <n v="83"/>
    <n v="1"/>
    <x v="1"/>
    <n v="7.1665999999999999"/>
    <x v="4"/>
    <x v="4"/>
    <n v="29"/>
    <n v="963"/>
    <n v="23"/>
    <n v="47.957599999999999"/>
    <x v="0"/>
    <n v="3.844614"/>
    <n v="384.46"/>
    <x v="2"/>
    <x v="0"/>
    <n v="995.92949999999996"/>
  </r>
  <r>
    <x v="1"/>
    <x v="10"/>
    <n v="15.707800000000001"/>
    <n v="11"/>
    <n v="996"/>
    <n v="2330.9657999999999"/>
    <x v="0"/>
    <n v="51"/>
    <x v="0"/>
    <n v="13"/>
    <x v="2"/>
    <n v="1.5686274509803921"/>
    <x v="0"/>
    <n v="80"/>
    <n v="2"/>
    <x v="2"/>
    <n v="8.6731999999999996"/>
    <x v="2"/>
    <x v="1"/>
    <n v="18"/>
    <n v="830"/>
    <n v="5"/>
    <n v="96.5274"/>
    <x v="2"/>
    <n v="1.727314"/>
    <n v="172.73"/>
    <x v="0"/>
    <x v="0"/>
    <n v="806.10320000000002"/>
  </r>
  <r>
    <x v="1"/>
    <x v="11"/>
    <n v="90.635499999999993"/>
    <n v="95"/>
    <n v="960"/>
    <n v="6099.9440999999997"/>
    <x v="1"/>
    <n v="46"/>
    <x v="2"/>
    <n v="23"/>
    <x v="1"/>
    <n v="1.3043478260869565"/>
    <x v="0"/>
    <n v="60"/>
    <n v="1"/>
    <x v="1"/>
    <n v="4.5239000000000003"/>
    <x v="4"/>
    <x v="1"/>
    <n v="28"/>
    <n v="362"/>
    <n v="11"/>
    <n v="27.592400000000001"/>
    <x v="0"/>
    <n v="2.1170000000000001E-2"/>
    <n v="2.12"/>
    <x v="1"/>
    <x v="2"/>
    <n v="126.723"/>
  </r>
  <r>
    <x v="0"/>
    <x v="12"/>
    <n v="71.213399999999993"/>
    <n v="41"/>
    <n v="336"/>
    <n v="2873.7413999999999"/>
    <x v="2"/>
    <n v="100"/>
    <x v="3"/>
    <n v="30"/>
    <x v="1"/>
    <n v="0.85"/>
    <x v="1"/>
    <n v="85"/>
    <n v="4"/>
    <x v="1"/>
    <n v="1.3252999999999999"/>
    <x v="3"/>
    <x v="1"/>
    <n v="3"/>
    <n v="563"/>
    <n v="3"/>
    <n v="32.321300000000001"/>
    <x v="1"/>
    <n v="2.161254"/>
    <n v="216.13"/>
    <x v="0"/>
    <x v="0"/>
    <n v="402.96879999999999"/>
  </r>
  <r>
    <x v="1"/>
    <x v="13"/>
    <n v="16.160399999999999"/>
    <n v="5"/>
    <n v="249"/>
    <n v="4052.7384000000002"/>
    <x v="3"/>
    <n v="80"/>
    <x v="3"/>
    <n v="8"/>
    <x v="0"/>
    <n v="0.6"/>
    <x v="1"/>
    <n v="48"/>
    <n v="9"/>
    <x v="1"/>
    <n v="9.5373000000000001"/>
    <x v="2"/>
    <x v="3"/>
    <n v="23"/>
    <n v="173"/>
    <n v="10"/>
    <n v="97.828999999999994"/>
    <x v="0"/>
    <n v="1.6310739999999999"/>
    <n v="163.11000000000001"/>
    <x v="0"/>
    <x v="0"/>
    <n v="547.24099999999999"/>
  </r>
  <r>
    <x v="1"/>
    <x v="14"/>
    <n v="99.171300000000002"/>
    <n v="26"/>
    <n v="562"/>
    <n v="8653.5709000000006"/>
    <x v="0"/>
    <n v="54"/>
    <x v="0"/>
    <n v="29"/>
    <x v="1"/>
    <n v="1.4444444444444444"/>
    <x v="0"/>
    <n v="78"/>
    <n v="5"/>
    <x v="0"/>
    <n v="2.0398000000000001"/>
    <x v="1"/>
    <x v="1"/>
    <n v="25"/>
    <n v="558"/>
    <n v="14"/>
    <n v="5.7914000000000003"/>
    <x v="0"/>
    <n v="0.10068299999999999"/>
    <n v="10.07"/>
    <x v="1"/>
    <x v="0"/>
    <n v="929.23530000000005"/>
  </r>
  <r>
    <x v="1"/>
    <x v="15"/>
    <n v="36.989199999999997"/>
    <n v="94"/>
    <n v="469"/>
    <n v="5442.0868"/>
    <x v="0"/>
    <n v="9"/>
    <x v="1"/>
    <n v="8"/>
    <x v="0"/>
    <n v="7.666666666666667"/>
    <x v="2"/>
    <n v="69"/>
    <n v="7"/>
    <x v="0"/>
    <n v="2.4220000000000002"/>
    <x v="1"/>
    <x v="3"/>
    <n v="14"/>
    <n v="580"/>
    <n v="7"/>
    <n v="97.121300000000005"/>
    <x v="2"/>
    <n v="2.2644060000000001"/>
    <n v="226.44"/>
    <x v="3"/>
    <x v="0"/>
    <n v="127.8618"/>
  </r>
  <r>
    <x v="1"/>
    <x v="16"/>
    <n v="7.5472000000000001"/>
    <n v="74"/>
    <n v="280"/>
    <n v="6453.7979999999998"/>
    <x v="1"/>
    <n v="2"/>
    <x v="1"/>
    <n v="5"/>
    <x v="0"/>
    <n v="39"/>
    <x v="2"/>
    <n v="78"/>
    <n v="1"/>
    <x v="0"/>
    <n v="4.1913"/>
    <x v="1"/>
    <x v="3"/>
    <n v="3"/>
    <n v="399"/>
    <n v="21"/>
    <n v="77.106300000000005"/>
    <x v="2"/>
    <n v="1.0125630000000001"/>
    <n v="101.26"/>
    <x v="1"/>
    <x v="2"/>
    <n v="865.5258"/>
  </r>
  <r>
    <x v="2"/>
    <x v="17"/>
    <n v="81.462500000000006"/>
    <n v="82"/>
    <n v="126"/>
    <n v="2629.3964000000001"/>
    <x v="1"/>
    <n v="45"/>
    <x v="2"/>
    <n v="17"/>
    <x v="2"/>
    <n v="1.8888888888888888"/>
    <x v="0"/>
    <n v="85"/>
    <n v="9"/>
    <x v="2"/>
    <n v="3.5853999999999999"/>
    <x v="1"/>
    <x v="4"/>
    <n v="7"/>
    <n v="453"/>
    <n v="16"/>
    <n v="47.679699999999997"/>
    <x v="1"/>
    <n v="0.102021"/>
    <n v="10.199999999999999"/>
    <x v="1"/>
    <x v="1"/>
    <n v="670.93439999999998"/>
  </r>
  <r>
    <x v="0"/>
    <x v="18"/>
    <n v="36.443600000000004"/>
    <n v="23"/>
    <n v="620"/>
    <n v="9364.6735000000008"/>
    <x v="2"/>
    <n v="10"/>
    <x v="1"/>
    <n v="10"/>
    <x v="2"/>
    <n v="4.5999999999999996"/>
    <x v="2"/>
    <n v="46"/>
    <n v="8"/>
    <x v="2"/>
    <n v="4.3391999999999999"/>
    <x v="4"/>
    <x v="1"/>
    <n v="18"/>
    <n v="374"/>
    <n v="17"/>
    <n v="27.108000000000001"/>
    <x v="0"/>
    <n v="2.2319390000000001"/>
    <n v="223.19"/>
    <x v="3"/>
    <x v="2"/>
    <n v="593.48030000000006"/>
  </r>
  <r>
    <x v="1"/>
    <x v="19"/>
    <n v="51.123899999999999"/>
    <n v="100"/>
    <n v="187"/>
    <n v="2553.4956000000002"/>
    <x v="2"/>
    <n v="48"/>
    <x v="2"/>
    <n v="11"/>
    <x v="2"/>
    <n v="1.9583333333333333"/>
    <x v="0"/>
    <n v="94"/>
    <n v="3"/>
    <x v="1"/>
    <n v="4.7426000000000004"/>
    <x v="3"/>
    <x v="4"/>
    <n v="20"/>
    <n v="694"/>
    <n v="16"/>
    <n v="82.3733"/>
    <x v="1"/>
    <n v="3.6464509999999999"/>
    <n v="364.65"/>
    <x v="0"/>
    <x v="1"/>
    <n v="477.30759999999998"/>
  </r>
  <r>
    <x v="1"/>
    <x v="20"/>
    <n v="96.341099999999997"/>
    <n v="22"/>
    <n v="320"/>
    <n v="8128.0276999999996"/>
    <x v="2"/>
    <n v="27"/>
    <x v="2"/>
    <n v="12"/>
    <x v="2"/>
    <n v="2.5185185185185186"/>
    <x v="2"/>
    <n v="68"/>
    <n v="6"/>
    <x v="1"/>
    <n v="8.8782999999999994"/>
    <x v="1"/>
    <x v="4"/>
    <n v="29"/>
    <n v="309"/>
    <n v="6"/>
    <n v="65.686300000000003"/>
    <x v="2"/>
    <n v="4.2314170000000004"/>
    <n v="423.14"/>
    <x v="1"/>
    <x v="0"/>
    <n v="493.87119999999999"/>
  </r>
  <r>
    <x v="2"/>
    <x v="21"/>
    <n v="84.893900000000002"/>
    <n v="60"/>
    <n v="601"/>
    <n v="7087.0527000000002"/>
    <x v="2"/>
    <n v="69"/>
    <x v="0"/>
    <n v="25"/>
    <x v="1"/>
    <n v="0.10144927536231885"/>
    <x v="1"/>
    <n v="7"/>
    <n v="6"/>
    <x v="0"/>
    <n v="6.0378999999999996"/>
    <x v="2"/>
    <x v="4"/>
    <n v="19"/>
    <n v="791"/>
    <n v="4"/>
    <n v="61.735700000000001"/>
    <x v="0"/>
    <n v="1.8608E-2"/>
    <n v="1.86"/>
    <x v="1"/>
    <x v="1"/>
    <n v="523.36090000000002"/>
  </r>
  <r>
    <x v="0"/>
    <x v="22"/>
    <n v="27.6798"/>
    <n v="55"/>
    <n v="884"/>
    <n v="2390.8078999999998"/>
    <x v="2"/>
    <n v="71"/>
    <x v="3"/>
    <n v="1"/>
    <x v="0"/>
    <n v="0.88732394366197187"/>
    <x v="1"/>
    <n v="63"/>
    <n v="10"/>
    <x v="1"/>
    <n v="9.5676000000000005"/>
    <x v="3"/>
    <x v="1"/>
    <n v="22"/>
    <n v="780"/>
    <n v="28"/>
    <n v="50.120800000000003"/>
    <x v="1"/>
    <n v="2.591275"/>
    <n v="259.13"/>
    <x v="2"/>
    <x v="1"/>
    <n v="205.572"/>
  </r>
  <r>
    <x v="2"/>
    <x v="23"/>
    <n v="4.3243"/>
    <n v="30"/>
    <n v="391"/>
    <n v="8858.3675999999996"/>
    <x v="2"/>
    <n v="84"/>
    <x v="3"/>
    <n v="5"/>
    <x v="0"/>
    <n v="0.34523809523809523"/>
    <x v="1"/>
    <n v="29"/>
    <n v="7"/>
    <x v="1"/>
    <n v="2.9249000000000001"/>
    <x v="2"/>
    <x v="1"/>
    <n v="11"/>
    <n v="568"/>
    <n v="29"/>
    <n v="98.61"/>
    <x v="0"/>
    <n v="1.342292"/>
    <n v="134.22999999999999"/>
    <x v="2"/>
    <x v="2"/>
    <n v="196.32939999999999"/>
  </r>
  <r>
    <x v="0"/>
    <x v="24"/>
    <n v="4.1562999999999999"/>
    <n v="32"/>
    <n v="209"/>
    <n v="9049.0779000000002"/>
    <x v="3"/>
    <n v="4"/>
    <x v="1"/>
    <n v="26"/>
    <x v="1"/>
    <n v="0.5"/>
    <x v="1"/>
    <n v="2"/>
    <n v="8"/>
    <x v="2"/>
    <n v="9.7413000000000007"/>
    <x v="4"/>
    <x v="3"/>
    <n v="28"/>
    <n v="447"/>
    <n v="3"/>
    <n v="40.382399999999997"/>
    <x v="0"/>
    <n v="3.6913100000000001"/>
    <n v="369.13"/>
    <x v="1"/>
    <x v="2"/>
    <n v="758.72479999999996"/>
  </r>
  <r>
    <x v="0"/>
    <x v="25"/>
    <n v="39.629300000000001"/>
    <n v="73"/>
    <n v="142"/>
    <n v="2174.7770999999998"/>
    <x v="3"/>
    <n v="82"/>
    <x v="3"/>
    <n v="11"/>
    <x v="2"/>
    <n v="0.63414634146341464"/>
    <x v="1"/>
    <n v="52"/>
    <n v="3"/>
    <x v="2"/>
    <n v="2.2311000000000001"/>
    <x v="3"/>
    <x v="1"/>
    <n v="19"/>
    <n v="934"/>
    <n v="23"/>
    <n v="78.2804"/>
    <x v="0"/>
    <n v="3.797231"/>
    <n v="379.72"/>
    <x v="0"/>
    <x v="0"/>
    <n v="458.53590000000003"/>
  </r>
  <r>
    <x v="0"/>
    <x v="26"/>
    <n v="97.446899999999999"/>
    <n v="9"/>
    <n v="353"/>
    <n v="3716.4933000000001"/>
    <x v="3"/>
    <n v="59"/>
    <x v="0"/>
    <n v="16"/>
    <x v="2"/>
    <n v="0.81355932203389836"/>
    <x v="1"/>
    <n v="48"/>
    <n v="4"/>
    <x v="0"/>
    <n v="6.5075000000000003"/>
    <x v="4"/>
    <x v="3"/>
    <n v="26"/>
    <n v="171"/>
    <n v="4"/>
    <n v="15.972200000000001"/>
    <x v="2"/>
    <n v="2.1193200000000001"/>
    <n v="211.93"/>
    <x v="2"/>
    <x v="2"/>
    <n v="617.86689999999999"/>
  </r>
  <r>
    <x v="2"/>
    <x v="27"/>
    <n v="92.557400000000001"/>
    <n v="42"/>
    <n v="352"/>
    <n v="2686.4571999999998"/>
    <x v="2"/>
    <n v="47"/>
    <x v="2"/>
    <n v="9"/>
    <x v="0"/>
    <n v="1.3191489361702127"/>
    <x v="0"/>
    <n v="62"/>
    <n v="8"/>
    <x v="2"/>
    <n v="7.4067999999999996"/>
    <x v="2"/>
    <x v="0"/>
    <n v="25"/>
    <n v="291"/>
    <n v="4"/>
    <n v="10.5282"/>
    <x v="1"/>
    <n v="2.864668"/>
    <n v="286.47000000000003"/>
    <x v="3"/>
    <x v="0"/>
    <n v="762.45920000000001"/>
  </r>
  <r>
    <x v="2"/>
    <x v="28"/>
    <n v="2.3973"/>
    <n v="12"/>
    <n v="394"/>
    <n v="6117.3245999999999"/>
    <x v="1"/>
    <n v="48"/>
    <x v="2"/>
    <n v="15"/>
    <x v="2"/>
    <n v="0.5"/>
    <x v="1"/>
    <n v="24"/>
    <n v="4"/>
    <x v="0"/>
    <n v="9.8980999999999995"/>
    <x v="1"/>
    <x v="0"/>
    <n v="13"/>
    <n v="171"/>
    <n v="7"/>
    <n v="59.429400000000001"/>
    <x v="1"/>
    <n v="0.81575699999999995"/>
    <n v="81.58"/>
    <x v="1"/>
    <x v="2"/>
    <n v="123.437"/>
  </r>
  <r>
    <x v="2"/>
    <x v="29"/>
    <n v="63.447600000000001"/>
    <n v="3"/>
    <n v="253"/>
    <n v="8318.9032000000007"/>
    <x v="1"/>
    <n v="45"/>
    <x v="2"/>
    <n v="5"/>
    <x v="0"/>
    <n v="1.4888888888888889"/>
    <x v="0"/>
    <n v="67"/>
    <n v="7"/>
    <x v="0"/>
    <n v="8.1010000000000009"/>
    <x v="1"/>
    <x v="1"/>
    <n v="16"/>
    <n v="329"/>
    <n v="7"/>
    <n v="39.292900000000003"/>
    <x v="2"/>
    <n v="3.8780990000000002"/>
    <n v="387.81"/>
    <x v="0"/>
    <x v="0"/>
    <n v="764.93539999999996"/>
  </r>
  <r>
    <x v="0"/>
    <x v="30"/>
    <n v="8.0228999999999999"/>
    <n v="10"/>
    <n v="327"/>
    <n v="2766.3424"/>
    <x v="3"/>
    <n v="60"/>
    <x v="0"/>
    <n v="26"/>
    <x v="1"/>
    <n v="0.58333333333333337"/>
    <x v="1"/>
    <n v="35"/>
    <n v="7"/>
    <x v="0"/>
    <n v="8.9544999999999995"/>
    <x v="3"/>
    <x v="1"/>
    <n v="27"/>
    <n v="806"/>
    <n v="30"/>
    <n v="51.634900000000002"/>
    <x v="0"/>
    <n v="0.965395"/>
    <n v="96.54"/>
    <x v="0"/>
    <x v="1"/>
    <n v="880.08100000000002"/>
  </r>
  <r>
    <x v="1"/>
    <x v="31"/>
    <n v="50.8474"/>
    <n v="28"/>
    <n v="168"/>
    <n v="9655.1350999999995"/>
    <x v="3"/>
    <n v="6"/>
    <x v="1"/>
    <n v="17"/>
    <x v="2"/>
    <n v="7.333333333333333"/>
    <x v="2"/>
    <n v="44"/>
    <n v="4"/>
    <x v="0"/>
    <n v="2.6797"/>
    <x v="0"/>
    <x v="4"/>
    <n v="24"/>
    <n v="461"/>
    <n v="8"/>
    <n v="60.251100000000001"/>
    <x v="0"/>
    <n v="2.9889999999999999"/>
    <n v="298.89999999999998"/>
    <x v="2"/>
    <x v="1"/>
    <n v="609.37919999999997"/>
  </r>
  <r>
    <x v="1"/>
    <x v="32"/>
    <n v="79.209900000000005"/>
    <n v="43"/>
    <n v="781"/>
    <n v="9571.5504999999994"/>
    <x v="2"/>
    <n v="89"/>
    <x v="3"/>
    <n v="13"/>
    <x v="2"/>
    <n v="0.7191011235955056"/>
    <x v="1"/>
    <n v="64"/>
    <n v="4"/>
    <x v="2"/>
    <n v="6.5991"/>
    <x v="0"/>
    <x v="1"/>
    <n v="30"/>
    <n v="737"/>
    <n v="7"/>
    <n v="29.692499999999999"/>
    <x v="2"/>
    <n v="1.9460360000000001"/>
    <n v="194.6"/>
    <x v="0"/>
    <x v="2"/>
    <n v="761.1739"/>
  </r>
  <r>
    <x v="2"/>
    <x v="33"/>
    <n v="64.795400000000001"/>
    <n v="63"/>
    <n v="616"/>
    <n v="5149.9984000000004"/>
    <x v="0"/>
    <n v="4"/>
    <x v="1"/>
    <n v="17"/>
    <x v="2"/>
    <n v="23.75"/>
    <x v="2"/>
    <n v="95"/>
    <n v="9"/>
    <x v="2"/>
    <n v="4.8582999999999998"/>
    <x v="2"/>
    <x v="4"/>
    <n v="1"/>
    <n v="251"/>
    <n v="23"/>
    <n v="23.853400000000001"/>
    <x v="1"/>
    <n v="3.5410460000000001"/>
    <n v="354.1"/>
    <x v="3"/>
    <x v="2"/>
    <n v="371.25529999999998"/>
  </r>
  <r>
    <x v="1"/>
    <x v="34"/>
    <n v="37.467599999999997"/>
    <n v="96"/>
    <n v="602"/>
    <n v="9061.7109"/>
    <x v="2"/>
    <n v="1"/>
    <x v="1"/>
    <n v="26"/>
    <x v="1"/>
    <n v="21"/>
    <x v="2"/>
    <n v="21"/>
    <n v="7"/>
    <x v="1"/>
    <n v="1.0195000000000001"/>
    <x v="1"/>
    <x v="4"/>
    <n v="4"/>
    <n v="452"/>
    <n v="10"/>
    <n v="10.754300000000001"/>
    <x v="2"/>
    <n v="0.64660499999999999"/>
    <n v="64.66"/>
    <x v="0"/>
    <x v="0"/>
    <n v="510.358"/>
  </r>
  <r>
    <x v="2"/>
    <x v="35"/>
    <n v="84.957800000000006"/>
    <n v="11"/>
    <n v="449"/>
    <n v="6541.3293000000003"/>
    <x v="1"/>
    <n v="42"/>
    <x v="2"/>
    <n v="27"/>
    <x v="1"/>
    <n v="2.0238095238095237"/>
    <x v="2"/>
    <n v="85"/>
    <n v="8"/>
    <x v="2"/>
    <n v="5.2881999999999998"/>
    <x v="1"/>
    <x v="2"/>
    <n v="3"/>
    <n v="367"/>
    <n v="2"/>
    <n v="58.004800000000003"/>
    <x v="2"/>
    <n v="0.54115400000000002"/>
    <n v="54.12"/>
    <x v="3"/>
    <x v="1"/>
    <n v="553.42049999999995"/>
  </r>
  <r>
    <x v="1"/>
    <x v="36"/>
    <n v="9.8130000000000006"/>
    <n v="34"/>
    <n v="963"/>
    <n v="7573.4025000000001"/>
    <x v="1"/>
    <n v="18"/>
    <x v="1"/>
    <n v="23"/>
    <x v="1"/>
    <n v="1.5555555555555556"/>
    <x v="0"/>
    <n v="28"/>
    <n v="3"/>
    <x v="0"/>
    <n v="2.1080000000000001"/>
    <x v="4"/>
    <x v="2"/>
    <n v="26"/>
    <n v="671"/>
    <n v="19"/>
    <n v="45.531399999999998"/>
    <x v="1"/>
    <n v="3.8055330000000001"/>
    <n v="380.55"/>
    <x v="1"/>
    <x v="1"/>
    <n v="403.80900000000003"/>
  </r>
  <r>
    <x v="1"/>
    <x v="37"/>
    <n v="23.399799999999999"/>
    <n v="5"/>
    <n v="963"/>
    <n v="2438.3398999999999"/>
    <x v="1"/>
    <n v="25"/>
    <x v="2"/>
    <n v="8"/>
    <x v="0"/>
    <n v="0.84"/>
    <x v="1"/>
    <n v="21"/>
    <n v="9"/>
    <x v="1"/>
    <n v="1.5327"/>
    <x v="0"/>
    <x v="1"/>
    <n v="24"/>
    <n v="867"/>
    <n v="15"/>
    <n v="34.343299999999999"/>
    <x v="0"/>
    <n v="2.6102880000000002"/>
    <n v="261.02999999999997"/>
    <x v="3"/>
    <x v="2"/>
    <n v="183.93299999999999"/>
  </r>
  <r>
    <x v="2"/>
    <x v="38"/>
    <n v="52.075899999999997"/>
    <n v="75"/>
    <n v="705"/>
    <n v="9692.3179999999993"/>
    <x v="0"/>
    <n v="69"/>
    <x v="0"/>
    <n v="1"/>
    <x v="0"/>
    <n v="1.2753623188405796"/>
    <x v="0"/>
    <n v="88"/>
    <n v="5"/>
    <x v="0"/>
    <n v="9.2359000000000009"/>
    <x v="2"/>
    <x v="0"/>
    <n v="10"/>
    <n v="841"/>
    <n v="12"/>
    <n v="5.9306999999999999"/>
    <x v="0"/>
    <n v="0.61332699999999996"/>
    <n v="61.33"/>
    <x v="1"/>
    <x v="0"/>
    <n v="339.67290000000003"/>
  </r>
  <r>
    <x v="1"/>
    <x v="39"/>
    <n v="19.127500000000001"/>
    <n v="26"/>
    <n v="176"/>
    <n v="1912.4657"/>
    <x v="1"/>
    <n v="78"/>
    <x v="3"/>
    <n v="29"/>
    <x v="1"/>
    <n v="0.4358974358974359"/>
    <x v="1"/>
    <n v="34"/>
    <n v="3"/>
    <x v="1"/>
    <n v="5.5625"/>
    <x v="4"/>
    <x v="1"/>
    <n v="30"/>
    <n v="791"/>
    <n v="6"/>
    <n v="9.0058000000000007"/>
    <x v="1"/>
    <n v="1.451972"/>
    <n v="145.19999999999999"/>
    <x v="1"/>
    <x v="0"/>
    <n v="653.673"/>
  </r>
  <r>
    <x v="1"/>
    <x v="40"/>
    <n v="80.541399999999996"/>
    <n v="97"/>
    <n v="933"/>
    <n v="5724.9593999999997"/>
    <x v="1"/>
    <n v="90"/>
    <x v="3"/>
    <n v="20"/>
    <x v="1"/>
    <n v="0.43333333333333335"/>
    <x v="1"/>
    <n v="39"/>
    <n v="8"/>
    <x v="2"/>
    <n v="7.2295999999999996"/>
    <x v="1"/>
    <x v="1"/>
    <n v="18"/>
    <n v="793"/>
    <n v="1"/>
    <n v="88.179400000000001"/>
    <x v="0"/>
    <n v="4.2132690000000004"/>
    <n v="421.33"/>
    <x v="0"/>
    <x v="2"/>
    <n v="529.80870000000004"/>
  </r>
  <r>
    <x v="1"/>
    <x v="41"/>
    <n v="99.113299999999995"/>
    <n v="35"/>
    <n v="556"/>
    <n v="5521.2052999999996"/>
    <x v="1"/>
    <n v="64"/>
    <x v="0"/>
    <n v="19"/>
    <x v="2"/>
    <n v="0.59375"/>
    <x v="1"/>
    <n v="38"/>
    <n v="8"/>
    <x v="0"/>
    <n v="5.7732999999999999"/>
    <x v="3"/>
    <x v="4"/>
    <n v="18"/>
    <n v="892"/>
    <n v="7"/>
    <n v="95.332099999999997"/>
    <x v="1"/>
    <n v="4.5302000000000002E-2"/>
    <n v="4.53"/>
    <x v="3"/>
    <x v="2"/>
    <n v="275.52440000000001"/>
  </r>
  <r>
    <x v="1"/>
    <x v="42"/>
    <n v="46.529200000000003"/>
    <n v="98"/>
    <n v="155"/>
    <n v="1839.6094000000001"/>
    <x v="1"/>
    <n v="22"/>
    <x v="2"/>
    <n v="27"/>
    <x v="1"/>
    <n v="2.5909090909090908"/>
    <x v="2"/>
    <n v="57"/>
    <n v="4"/>
    <x v="2"/>
    <n v="7.5262000000000002"/>
    <x v="2"/>
    <x v="3"/>
    <n v="26"/>
    <n v="179"/>
    <n v="7"/>
    <n v="96.422799999999995"/>
    <x v="1"/>
    <n v="4.9392550000000002"/>
    <n v="493.93"/>
    <x v="0"/>
    <x v="2"/>
    <n v="635.65710000000001"/>
  </r>
  <r>
    <x v="0"/>
    <x v="43"/>
    <n v="11.7433"/>
    <n v="6"/>
    <n v="598"/>
    <n v="5737.4255999999996"/>
    <x v="2"/>
    <n v="36"/>
    <x v="2"/>
    <n v="29"/>
    <x v="1"/>
    <n v="2.3611111111111112"/>
    <x v="2"/>
    <n v="85"/>
    <n v="9"/>
    <x v="0"/>
    <n v="3.694"/>
    <x v="2"/>
    <x v="0"/>
    <n v="1"/>
    <n v="206"/>
    <n v="23"/>
    <n v="26.2774"/>
    <x v="0"/>
    <n v="0.372305"/>
    <n v="37.229999999999997"/>
    <x v="1"/>
    <x v="2"/>
    <n v="716.04409999999996"/>
  </r>
  <r>
    <x v="2"/>
    <x v="44"/>
    <n v="51.355800000000002"/>
    <n v="34"/>
    <n v="919"/>
    <n v="7152.2860000000001"/>
    <x v="1"/>
    <n v="13"/>
    <x v="1"/>
    <n v="19"/>
    <x v="2"/>
    <n v="5.5384615384615383"/>
    <x v="2"/>
    <n v="72"/>
    <n v="6"/>
    <x v="2"/>
    <n v="7.5773999999999999"/>
    <x v="4"/>
    <x v="2"/>
    <n v="7"/>
    <n v="834"/>
    <n v="18"/>
    <n v="22.554099999999998"/>
    <x v="1"/>
    <n v="2.9626260000000002"/>
    <n v="296.26"/>
    <x v="2"/>
    <x v="2"/>
    <n v="610.45330000000001"/>
  </r>
  <r>
    <x v="0"/>
    <x v="45"/>
    <n v="33.784100000000002"/>
    <n v="1"/>
    <n v="24"/>
    <n v="5267.9567999999999"/>
    <x v="3"/>
    <n v="93"/>
    <x v="3"/>
    <n v="7"/>
    <x v="0"/>
    <n v="0.55913978494623651"/>
    <x v="1"/>
    <n v="52"/>
    <n v="6"/>
    <x v="0"/>
    <n v="5.2152000000000003"/>
    <x v="4"/>
    <x v="4"/>
    <n v="25"/>
    <n v="794"/>
    <n v="25"/>
    <n v="66.3125"/>
    <x v="2"/>
    <n v="3.2196050000000001"/>
    <n v="321.95999999999998"/>
    <x v="2"/>
    <x v="2"/>
    <n v="495.3057"/>
  </r>
  <r>
    <x v="0"/>
    <x v="46"/>
    <n v="27.0822"/>
    <n v="75"/>
    <n v="859"/>
    <n v="2556.7674000000002"/>
    <x v="0"/>
    <n v="92"/>
    <x v="3"/>
    <n v="29"/>
    <x v="1"/>
    <n v="6.5217391304347824E-2"/>
    <x v="1"/>
    <n v="6"/>
    <n v="8"/>
    <x v="0"/>
    <n v="4.0709999999999997"/>
    <x v="0"/>
    <x v="4"/>
    <n v="18"/>
    <n v="870"/>
    <n v="23"/>
    <n v="77.322400000000002"/>
    <x v="0"/>
    <n v="3.6486109999999998"/>
    <n v="364.86"/>
    <x v="0"/>
    <x v="0"/>
    <n v="380.4359"/>
  </r>
  <r>
    <x v="1"/>
    <x v="47"/>
    <n v="95.712100000000007"/>
    <n v="93"/>
    <n v="910"/>
    <n v="7089.4741999999997"/>
    <x v="3"/>
    <n v="4"/>
    <x v="1"/>
    <n v="15"/>
    <x v="2"/>
    <n v="12.75"/>
    <x v="2"/>
    <n v="51"/>
    <n v="9"/>
    <x v="0"/>
    <n v="8.9787999999999997"/>
    <x v="1"/>
    <x v="1"/>
    <n v="10"/>
    <n v="964"/>
    <n v="20"/>
    <n v="19.713000000000001"/>
    <x v="0"/>
    <n v="0.38057400000000002"/>
    <n v="38.06"/>
    <x v="2"/>
    <x v="2"/>
    <n v="581.60239999999999"/>
  </r>
  <r>
    <x v="0"/>
    <x v="48"/>
    <n v="76.035499999999999"/>
    <n v="28"/>
    <n v="29"/>
    <n v="7397.0709999999999"/>
    <x v="0"/>
    <n v="30"/>
    <x v="2"/>
    <n v="16"/>
    <x v="2"/>
    <n v="0.3"/>
    <x v="1"/>
    <n v="9"/>
    <n v="3"/>
    <x v="2"/>
    <n v="7.0957999999999997"/>
    <x v="4"/>
    <x v="0"/>
    <n v="9"/>
    <n v="109"/>
    <n v="18"/>
    <n v="23.1264"/>
    <x v="1"/>
    <n v="1.698113"/>
    <n v="169.81"/>
    <x v="2"/>
    <x v="0"/>
    <n v="768.65189999999996"/>
  </r>
  <r>
    <x v="2"/>
    <x v="49"/>
    <n v="78.897900000000007"/>
    <n v="19"/>
    <n v="99"/>
    <n v="8001.6131999999998"/>
    <x v="2"/>
    <n v="97"/>
    <x v="3"/>
    <n v="24"/>
    <x v="1"/>
    <n v="9.2783505154639179E-2"/>
    <x v="1"/>
    <n v="9"/>
    <n v="6"/>
    <x v="2"/>
    <n v="2.5055999999999998"/>
    <x v="2"/>
    <x v="2"/>
    <n v="28"/>
    <n v="177"/>
    <n v="28"/>
    <n v="14.1478"/>
    <x v="2"/>
    <n v="2.8258139999999998"/>
    <n v="282.58"/>
    <x v="2"/>
    <x v="2"/>
    <n v="336.89019999999999"/>
  </r>
  <r>
    <x v="2"/>
    <x v="50"/>
    <n v="14.2035"/>
    <n v="91"/>
    <n v="633"/>
    <n v="5910.8854000000001"/>
    <x v="1"/>
    <n v="31"/>
    <x v="2"/>
    <n v="23"/>
    <x v="1"/>
    <n v="2.6451612903225805"/>
    <x v="2"/>
    <n v="82"/>
    <n v="10"/>
    <x v="1"/>
    <n v="6.2478999999999996"/>
    <x v="4"/>
    <x v="2"/>
    <n v="20"/>
    <n v="306"/>
    <n v="21"/>
    <n v="45.178800000000003"/>
    <x v="1"/>
    <n v="4.7548009999999996"/>
    <n v="475.48"/>
    <x v="2"/>
    <x v="0"/>
    <n v="496.24860000000001"/>
  </r>
  <r>
    <x v="0"/>
    <x v="51"/>
    <n v="26.700800000000001"/>
    <n v="61"/>
    <n v="154"/>
    <n v="9866.4655000000002"/>
    <x v="3"/>
    <n v="100"/>
    <x v="3"/>
    <n v="4"/>
    <x v="0"/>
    <n v="0.52"/>
    <x v="1"/>
    <n v="52"/>
    <n v="1"/>
    <x v="1"/>
    <n v="4.7830000000000004"/>
    <x v="2"/>
    <x v="3"/>
    <n v="18"/>
    <n v="673"/>
    <n v="28"/>
    <n v="14.190300000000001"/>
    <x v="0"/>
    <n v="1.7729509999999999"/>
    <n v="177.3"/>
    <x v="0"/>
    <x v="2"/>
    <n v="694.98230000000001"/>
  </r>
  <r>
    <x v="1"/>
    <x v="52"/>
    <n v="98.031800000000004"/>
    <n v="1"/>
    <n v="820"/>
    <n v="9435.7626"/>
    <x v="3"/>
    <n v="64"/>
    <x v="0"/>
    <n v="11"/>
    <x v="2"/>
    <n v="0.171875"/>
    <x v="1"/>
    <n v="11"/>
    <n v="1"/>
    <x v="0"/>
    <n v="8.6311"/>
    <x v="1"/>
    <x v="0"/>
    <n v="10"/>
    <n v="727"/>
    <n v="27"/>
    <n v="9.1668000000000003"/>
    <x v="0"/>
    <n v="2.1224720000000001"/>
    <n v="212.25"/>
    <x v="1"/>
    <x v="1"/>
    <n v="602.89850000000001"/>
  </r>
  <r>
    <x v="1"/>
    <x v="53"/>
    <n v="30.3415"/>
    <n v="93"/>
    <n v="242"/>
    <n v="8232.3348000000005"/>
    <x v="3"/>
    <n v="96"/>
    <x v="3"/>
    <n v="25"/>
    <x v="1"/>
    <n v="0.5625"/>
    <x v="1"/>
    <n v="54"/>
    <n v="3"/>
    <x v="0"/>
    <n v="1.0135000000000001"/>
    <x v="1"/>
    <x v="2"/>
    <n v="1"/>
    <n v="631"/>
    <n v="17"/>
    <n v="83.344099999999997"/>
    <x v="0"/>
    <n v="1.4103479999999999"/>
    <n v="141.03"/>
    <x v="1"/>
    <x v="0"/>
    <n v="750.73779999999999"/>
  </r>
  <r>
    <x v="0"/>
    <x v="54"/>
    <n v="31.1462"/>
    <n v="11"/>
    <n v="622"/>
    <n v="6088.0214999999998"/>
    <x v="0"/>
    <n v="33"/>
    <x v="2"/>
    <n v="22"/>
    <x v="1"/>
    <n v="1.8484848484848484"/>
    <x v="0"/>
    <n v="61"/>
    <n v="3"/>
    <x v="0"/>
    <n v="4.3051000000000004"/>
    <x v="1"/>
    <x v="1"/>
    <n v="26"/>
    <n v="497"/>
    <n v="29"/>
    <n v="30.186"/>
    <x v="2"/>
    <n v="2.4787720000000002"/>
    <n v="247.88"/>
    <x v="0"/>
    <x v="0"/>
    <n v="814.07"/>
  </r>
  <r>
    <x v="0"/>
    <x v="55"/>
    <n v="79.855099999999993"/>
    <n v="16"/>
    <n v="701"/>
    <n v="2925.6752000000001"/>
    <x v="3"/>
    <n v="97"/>
    <x v="3"/>
    <n v="11"/>
    <x v="2"/>
    <n v="0.1134020618556701"/>
    <x v="1"/>
    <n v="11"/>
    <n v="5"/>
    <x v="1"/>
    <n v="5.0144000000000002"/>
    <x v="4"/>
    <x v="2"/>
    <n v="27"/>
    <n v="918"/>
    <n v="5"/>
    <n v="30.323499999999999"/>
    <x v="1"/>
    <n v="4.5489199999999999"/>
    <n v="454.89"/>
    <x v="3"/>
    <x v="0"/>
    <n v="323.0129"/>
  </r>
  <r>
    <x v="1"/>
    <x v="56"/>
    <n v="20.9864"/>
    <n v="90"/>
    <n v="93"/>
    <n v="4767.0204999999996"/>
    <x v="0"/>
    <n v="25"/>
    <x v="2"/>
    <n v="23"/>
    <x v="1"/>
    <n v="3.32"/>
    <x v="2"/>
    <n v="83"/>
    <n v="5"/>
    <x v="2"/>
    <n v="1.7744"/>
    <x v="1"/>
    <x v="0"/>
    <n v="24"/>
    <n v="826"/>
    <n v="28"/>
    <n v="12.8363"/>
    <x v="2"/>
    <n v="1.1737550000000001"/>
    <n v="117.38"/>
    <x v="1"/>
    <x v="0"/>
    <n v="832.21079999999995"/>
  </r>
  <r>
    <x v="0"/>
    <x v="57"/>
    <n v="49.263199999999998"/>
    <n v="65"/>
    <n v="227"/>
    <n v="1605.8669"/>
    <x v="2"/>
    <n v="5"/>
    <x v="1"/>
    <n v="18"/>
    <x v="2"/>
    <n v="10.199999999999999"/>
    <x v="2"/>
    <n v="51"/>
    <n v="1"/>
    <x v="0"/>
    <n v="9.1606000000000005"/>
    <x v="4"/>
    <x v="2"/>
    <n v="21"/>
    <n v="588"/>
    <n v="25"/>
    <n v="67.779600000000002"/>
    <x v="0"/>
    <n v="2.5111750000000002"/>
    <n v="251.12"/>
    <x v="2"/>
    <x v="2"/>
    <n v="482.19119999999998"/>
  </r>
  <r>
    <x v="1"/>
    <x v="58"/>
    <n v="59.8416"/>
    <n v="81"/>
    <n v="896"/>
    <n v="2021.1497999999999"/>
    <x v="0"/>
    <n v="10"/>
    <x v="1"/>
    <n v="5"/>
    <x v="0"/>
    <n v="4.4000000000000004"/>
    <x v="2"/>
    <n v="44"/>
    <n v="7"/>
    <x v="1"/>
    <n v="4.9383999999999997"/>
    <x v="0"/>
    <x v="2"/>
    <n v="18"/>
    <n v="396"/>
    <n v="7"/>
    <n v="65.047399999999996"/>
    <x v="1"/>
    <n v="1.730375"/>
    <n v="173.04"/>
    <x v="0"/>
    <x v="0"/>
    <n v="110.3643"/>
  </r>
  <r>
    <x v="2"/>
    <x v="59"/>
    <n v="63.828400000000002"/>
    <n v="30"/>
    <n v="484"/>
    <n v="1061.6185"/>
    <x v="0"/>
    <n v="100"/>
    <x v="3"/>
    <n v="16"/>
    <x v="2"/>
    <n v="0.26"/>
    <x v="1"/>
    <n v="26"/>
    <n v="7"/>
    <x v="0"/>
    <n v="7.2937000000000003"/>
    <x v="1"/>
    <x v="1"/>
    <n v="11"/>
    <n v="176"/>
    <n v="4"/>
    <n v="1.9008"/>
    <x v="1"/>
    <n v="0.44719399999999998"/>
    <n v="44.72"/>
    <x v="1"/>
    <x v="2"/>
    <n v="312.57429999999999"/>
  </r>
  <r>
    <x v="1"/>
    <x v="60"/>
    <n v="17.027999999999999"/>
    <n v="16"/>
    <n v="380"/>
    <n v="8864.0843999999997"/>
    <x v="1"/>
    <n v="41"/>
    <x v="2"/>
    <n v="27"/>
    <x v="1"/>
    <n v="1.7560975609756098"/>
    <x v="0"/>
    <n v="72"/>
    <n v="8"/>
    <x v="2"/>
    <n v="4.3814000000000002"/>
    <x v="3"/>
    <x v="0"/>
    <n v="29"/>
    <n v="929"/>
    <n v="24"/>
    <n v="87.213099999999997"/>
    <x v="1"/>
    <n v="2.853091"/>
    <n v="285.31"/>
    <x v="2"/>
    <x v="2"/>
    <n v="430.16910000000001"/>
  </r>
  <r>
    <x v="0"/>
    <x v="61"/>
    <n v="52.028799999999997"/>
    <n v="23"/>
    <n v="117"/>
    <n v="6885.5893999999998"/>
    <x v="2"/>
    <n v="32"/>
    <x v="2"/>
    <n v="23"/>
    <x v="1"/>
    <n v="1.125"/>
    <x v="0"/>
    <n v="36"/>
    <n v="7"/>
    <x v="2"/>
    <n v="9.0303000000000004"/>
    <x v="3"/>
    <x v="1"/>
    <n v="14"/>
    <n v="480"/>
    <n v="12"/>
    <n v="78.702399999999997"/>
    <x v="1"/>
    <n v="4.3674710000000001"/>
    <n v="436.75"/>
    <x v="1"/>
    <x v="2"/>
    <n v="164.3665"/>
  </r>
  <r>
    <x v="2"/>
    <x v="62"/>
    <n v="72.796400000000006"/>
    <n v="89"/>
    <n v="270"/>
    <n v="3899.7467999999999"/>
    <x v="2"/>
    <n v="86"/>
    <x v="3"/>
    <n v="2"/>
    <x v="0"/>
    <n v="0.46511627906976744"/>
    <x v="1"/>
    <n v="40"/>
    <n v="7"/>
    <x v="2"/>
    <n v="7.2916999999999996"/>
    <x v="4"/>
    <x v="0"/>
    <n v="13"/>
    <n v="751"/>
    <n v="14"/>
    <n v="21.0486"/>
    <x v="2"/>
    <n v="1.874001"/>
    <n v="187.4"/>
    <x v="3"/>
    <x v="1"/>
    <n v="320.84649999999999"/>
  </r>
  <r>
    <x v="1"/>
    <x v="63"/>
    <n v="13.0174"/>
    <n v="55"/>
    <n v="246"/>
    <n v="4256.9490999999998"/>
    <x v="0"/>
    <n v="54"/>
    <x v="0"/>
    <n v="19"/>
    <x v="2"/>
    <n v="0.18518518518518517"/>
    <x v="1"/>
    <n v="10"/>
    <n v="4"/>
    <x v="1"/>
    <n v="2.4579"/>
    <x v="0"/>
    <x v="3"/>
    <n v="18"/>
    <n v="736"/>
    <n v="10"/>
    <n v="20.074999999999999"/>
    <x v="0"/>
    <n v="3.6328429999999998"/>
    <n v="363.28"/>
    <x v="3"/>
    <x v="2"/>
    <n v="687.28620000000001"/>
  </r>
  <r>
    <x v="1"/>
    <x v="64"/>
    <n v="89.634100000000004"/>
    <n v="11"/>
    <n v="134"/>
    <n v="8458.7309000000005"/>
    <x v="1"/>
    <n v="73"/>
    <x v="3"/>
    <n v="27"/>
    <x v="1"/>
    <n v="1.0273972602739727"/>
    <x v="0"/>
    <n v="75"/>
    <n v="6"/>
    <x v="2"/>
    <n v="4.5853999999999999"/>
    <x v="1"/>
    <x v="2"/>
    <n v="17"/>
    <n v="328"/>
    <n v="6"/>
    <n v="8.6929999999999996"/>
    <x v="1"/>
    <n v="0.15948599999999999"/>
    <n v="15.95"/>
    <x v="1"/>
    <x v="1"/>
    <n v="771.2251"/>
  </r>
  <r>
    <x v="1"/>
    <x v="65"/>
    <n v="33.697699999999998"/>
    <n v="72"/>
    <n v="457"/>
    <n v="8354.5797000000002"/>
    <x v="3"/>
    <n v="57"/>
    <x v="0"/>
    <n v="24"/>
    <x v="1"/>
    <n v="0.94736842105263153"/>
    <x v="1"/>
    <n v="54"/>
    <n v="8"/>
    <x v="2"/>
    <n v="6.5804999999999998"/>
    <x v="2"/>
    <x v="1"/>
    <n v="16"/>
    <n v="358"/>
    <n v="21"/>
    <n v="1.5972"/>
    <x v="1"/>
    <n v="4.9110959999999997"/>
    <n v="491.11"/>
    <x v="2"/>
    <x v="1"/>
    <n v="555.85910000000001"/>
  </r>
  <r>
    <x v="1"/>
    <x v="66"/>
    <n v="26.0349"/>
    <n v="52"/>
    <n v="704"/>
    <n v="8367.7216000000008"/>
    <x v="1"/>
    <n v="13"/>
    <x v="1"/>
    <n v="17"/>
    <x v="2"/>
    <n v="1.4615384615384615"/>
    <x v="0"/>
    <n v="19"/>
    <n v="8"/>
    <x v="1"/>
    <n v="2.2161"/>
    <x v="2"/>
    <x v="1"/>
    <n v="24"/>
    <n v="867"/>
    <n v="28"/>
    <n v="42.084400000000002"/>
    <x v="1"/>
    <n v="3.4480629999999999"/>
    <n v="344.81"/>
    <x v="0"/>
    <x v="2"/>
    <n v="393.8433"/>
  </r>
  <r>
    <x v="1"/>
    <x v="67"/>
    <n v="87.755399999999995"/>
    <n v="16"/>
    <n v="513"/>
    <n v="9473.7980000000007"/>
    <x v="2"/>
    <n v="12"/>
    <x v="1"/>
    <n v="9"/>
    <x v="0"/>
    <n v="5.916666666666667"/>
    <x v="2"/>
    <n v="71"/>
    <n v="9"/>
    <x v="2"/>
    <n v="9.1478000000000002"/>
    <x v="1"/>
    <x v="0"/>
    <n v="10"/>
    <n v="198"/>
    <n v="11"/>
    <n v="7.0579000000000001"/>
    <x v="2"/>
    <n v="0.13195499999999999"/>
    <n v="13.2"/>
    <x v="3"/>
    <x v="1"/>
    <n v="169.27180000000001"/>
  </r>
  <r>
    <x v="0"/>
    <x v="68"/>
    <n v="37.931800000000003"/>
    <n v="29"/>
    <n v="163"/>
    <n v="3550.2184000000002"/>
    <x v="0"/>
    <n v="0"/>
    <x v="1"/>
    <n v="8"/>
    <x v="0"/>
    <n v="0"/>
    <x v="1"/>
    <n v="58"/>
    <n v="8"/>
    <x v="0"/>
    <n v="1.1942999999999999"/>
    <x v="4"/>
    <x v="3"/>
    <n v="2"/>
    <n v="375"/>
    <n v="18"/>
    <n v="97.113600000000005"/>
    <x v="1"/>
    <n v="1.983468"/>
    <n v="198.35"/>
    <x v="2"/>
    <x v="2"/>
    <n v="299.7063"/>
  </r>
  <r>
    <x v="1"/>
    <x v="69"/>
    <n v="54.865499999999997"/>
    <n v="62"/>
    <n v="511"/>
    <n v="1752.3811000000001"/>
    <x v="0"/>
    <n v="95"/>
    <x v="3"/>
    <n v="1"/>
    <x v="0"/>
    <n v="0.28421052631578947"/>
    <x v="1"/>
    <n v="27"/>
    <n v="3"/>
    <x v="0"/>
    <n v="9.7052999999999994"/>
    <x v="3"/>
    <x v="1"/>
    <n v="9"/>
    <n v="862"/>
    <n v="7"/>
    <n v="77.627799999999993"/>
    <x v="0"/>
    <n v="1.3623879999999999"/>
    <n v="136.24"/>
    <x v="1"/>
    <x v="2"/>
    <n v="207.66319999999999"/>
  </r>
  <r>
    <x v="0"/>
    <x v="70"/>
    <n v="47.914499999999997"/>
    <n v="90"/>
    <n v="32"/>
    <n v="7014.8879999999999"/>
    <x v="1"/>
    <n v="10"/>
    <x v="1"/>
    <n v="12"/>
    <x v="2"/>
    <n v="2.2000000000000002"/>
    <x v="2"/>
    <n v="22"/>
    <n v="4"/>
    <x v="0"/>
    <n v="6.3156999999999996"/>
    <x v="1"/>
    <x v="3"/>
    <n v="22"/>
    <n v="775"/>
    <n v="16"/>
    <n v="11.440799999999999"/>
    <x v="2"/>
    <n v="1.830576"/>
    <n v="183.06"/>
    <x v="0"/>
    <x v="1"/>
    <n v="183.27289999999999"/>
  </r>
  <r>
    <x v="2"/>
    <x v="71"/>
    <n v="6.3815"/>
    <n v="14"/>
    <n v="637"/>
    <n v="8180.3370999999997"/>
    <x v="1"/>
    <n v="76"/>
    <x v="3"/>
    <n v="2"/>
    <x v="0"/>
    <n v="0.34210526315789475"/>
    <x v="1"/>
    <n v="26"/>
    <n v="6"/>
    <x v="1"/>
    <n v="9.2281999999999993"/>
    <x v="4"/>
    <x v="3"/>
    <n v="2"/>
    <n v="258"/>
    <n v="10"/>
    <n v="30.6617"/>
    <x v="0"/>
    <n v="2.078751"/>
    <n v="207.88"/>
    <x v="0"/>
    <x v="2"/>
    <n v="405.1671"/>
  </r>
  <r>
    <x v="2"/>
    <x v="72"/>
    <n v="90.204400000000007"/>
    <n v="88"/>
    <n v="478"/>
    <n v="2633.1219999999998"/>
    <x v="0"/>
    <n v="57"/>
    <x v="0"/>
    <n v="29"/>
    <x v="1"/>
    <n v="1.3508771929824561"/>
    <x v="0"/>
    <n v="77"/>
    <n v="9"/>
    <x v="1"/>
    <n v="6.5995999999999997"/>
    <x v="1"/>
    <x v="3"/>
    <n v="21"/>
    <n v="152"/>
    <n v="11"/>
    <n v="55.7605"/>
    <x v="0"/>
    <n v="3.21333"/>
    <n v="321.33"/>
    <x v="2"/>
    <x v="0"/>
    <n v="677.94460000000004"/>
  </r>
  <r>
    <x v="2"/>
    <x v="73"/>
    <n v="83.850999999999999"/>
    <n v="41"/>
    <n v="375"/>
    <n v="7910.8869000000004"/>
    <x v="3"/>
    <n v="17"/>
    <x v="1"/>
    <n v="25"/>
    <x v="1"/>
    <n v="3.8823529411764706"/>
    <x v="2"/>
    <n v="66"/>
    <n v="5"/>
    <x v="0"/>
    <n v="1.5128999999999999"/>
    <x v="3"/>
    <x v="4"/>
    <n v="13"/>
    <n v="444"/>
    <n v="4"/>
    <n v="46.870199999999997"/>
    <x v="1"/>
    <n v="4.620546"/>
    <n v="462.05"/>
    <x v="0"/>
    <x v="2"/>
    <n v="866.47280000000001"/>
  </r>
  <r>
    <x v="0"/>
    <x v="74"/>
    <n v="3.17"/>
    <n v="64"/>
    <n v="904"/>
    <n v="5709.9453000000003"/>
    <x v="1"/>
    <n v="41"/>
    <x v="2"/>
    <n v="6"/>
    <x v="0"/>
    <n v="2.4390243902439025E-2"/>
    <x v="1"/>
    <n v="1"/>
    <n v="5"/>
    <x v="1"/>
    <n v="5.2377000000000002"/>
    <x v="3"/>
    <x v="2"/>
    <n v="1"/>
    <n v="919"/>
    <n v="9"/>
    <n v="80.5809"/>
    <x v="1"/>
    <n v="0.39661299999999999"/>
    <n v="39.659999999999997"/>
    <x v="2"/>
    <x v="2"/>
    <n v="341.55270000000002"/>
  </r>
  <r>
    <x v="1"/>
    <x v="75"/>
    <n v="92.996899999999997"/>
    <n v="29"/>
    <n v="106"/>
    <n v="1889.0735999999999"/>
    <x v="0"/>
    <n v="16"/>
    <x v="1"/>
    <n v="20"/>
    <x v="1"/>
    <n v="3.5"/>
    <x v="2"/>
    <n v="56"/>
    <n v="10"/>
    <x v="2"/>
    <n v="2.4739"/>
    <x v="1"/>
    <x v="4"/>
    <n v="25"/>
    <n v="759"/>
    <n v="11"/>
    <n v="48.064799999999998"/>
    <x v="2"/>
    <n v="2.0300690000000001"/>
    <n v="203.01"/>
    <x v="1"/>
    <x v="1"/>
    <n v="873.12959999999998"/>
  </r>
  <r>
    <x v="0"/>
    <x v="76"/>
    <n v="69.108800000000002"/>
    <n v="23"/>
    <n v="241"/>
    <n v="5328.3760000000002"/>
    <x v="3"/>
    <n v="38"/>
    <x v="2"/>
    <n v="1"/>
    <x v="0"/>
    <n v="0.57894736842105265"/>
    <x v="1"/>
    <n v="22"/>
    <n v="10"/>
    <x v="1"/>
    <n v="7.0545"/>
    <x v="4"/>
    <x v="3"/>
    <n v="25"/>
    <n v="985"/>
    <n v="24"/>
    <n v="64.323599999999999"/>
    <x v="0"/>
    <n v="2.180037"/>
    <n v="218"/>
    <x v="2"/>
    <x v="2"/>
    <n v="997.41340000000002"/>
  </r>
  <r>
    <x v="0"/>
    <x v="77"/>
    <n v="57.4497"/>
    <n v="14"/>
    <n v="359"/>
    <n v="2483.7602000000002"/>
    <x v="2"/>
    <n v="96"/>
    <x v="3"/>
    <n v="28"/>
    <x v="1"/>
    <n v="0.59375"/>
    <x v="1"/>
    <n v="57"/>
    <n v="4"/>
    <x v="0"/>
    <n v="6.7808999999999999"/>
    <x v="1"/>
    <x v="1"/>
    <n v="26"/>
    <n v="334"/>
    <n v="5"/>
    <n v="42.952399999999997"/>
    <x v="2"/>
    <n v="3.055142"/>
    <n v="305.51"/>
    <x v="0"/>
    <x v="0"/>
    <n v="852.56809999999996"/>
  </r>
  <r>
    <x v="0"/>
    <x v="78"/>
    <n v="6.3068999999999997"/>
    <n v="50"/>
    <n v="946"/>
    <n v="1292.4584"/>
    <x v="2"/>
    <n v="5"/>
    <x v="1"/>
    <n v="4"/>
    <x v="0"/>
    <n v="10.199999999999999"/>
    <x v="2"/>
    <n v="51"/>
    <n v="5"/>
    <x v="0"/>
    <n v="8.4670000000000005"/>
    <x v="2"/>
    <x v="0"/>
    <n v="25"/>
    <n v="858"/>
    <n v="21"/>
    <n v="71.126499999999993"/>
    <x v="0"/>
    <n v="4.0968809999999998"/>
    <n v="409.69"/>
    <x v="3"/>
    <x v="1"/>
    <n v="323.59219999999999"/>
  </r>
  <r>
    <x v="0"/>
    <x v="79"/>
    <n v="57.057000000000002"/>
    <n v="56"/>
    <n v="198"/>
    <n v="7888.7232999999997"/>
    <x v="0"/>
    <n v="31"/>
    <x v="2"/>
    <n v="25"/>
    <x v="1"/>
    <n v="0.64516129032258063"/>
    <x v="1"/>
    <n v="20"/>
    <n v="1"/>
    <x v="0"/>
    <n v="6.4962999999999997"/>
    <x v="0"/>
    <x v="3"/>
    <n v="5"/>
    <n v="228"/>
    <n v="12"/>
    <n v="57.870899999999999"/>
    <x v="0"/>
    <n v="0.16587199999999999"/>
    <n v="16.59"/>
    <x v="1"/>
    <x v="1"/>
    <n v="351.50420000000003"/>
  </r>
  <r>
    <x v="1"/>
    <x v="80"/>
    <n v="91.128299999999996"/>
    <n v="75"/>
    <n v="872"/>
    <n v="8651.6726999999992"/>
    <x v="2"/>
    <n v="39"/>
    <x v="2"/>
    <n v="14"/>
    <x v="2"/>
    <n v="1.0512820512820513"/>
    <x v="0"/>
    <n v="41"/>
    <n v="2"/>
    <x v="2"/>
    <n v="2.8332000000000002"/>
    <x v="0"/>
    <x v="4"/>
    <n v="8"/>
    <n v="202"/>
    <n v="5"/>
    <n v="76.961200000000005"/>
    <x v="1"/>
    <n v="2.8496619999999999"/>
    <n v="284.97000000000003"/>
    <x v="3"/>
    <x v="0"/>
    <n v="787.77980000000002"/>
  </r>
  <r>
    <x v="0"/>
    <x v="81"/>
    <n v="72.819199999999995"/>
    <n v="9"/>
    <n v="774"/>
    <n v="4384.4134000000004"/>
    <x v="2"/>
    <n v="48"/>
    <x v="2"/>
    <n v="6"/>
    <x v="0"/>
    <n v="0.16666666666666666"/>
    <x v="1"/>
    <n v="8"/>
    <n v="5"/>
    <x v="0"/>
    <n v="4.0663"/>
    <x v="0"/>
    <x v="2"/>
    <n v="28"/>
    <n v="698"/>
    <n v="1"/>
    <n v="19.7896"/>
    <x v="0"/>
    <n v="2.5475469999999998"/>
    <n v="254.75"/>
    <x v="2"/>
    <x v="0"/>
    <n v="276.7783"/>
  </r>
  <r>
    <x v="1"/>
    <x v="82"/>
    <n v="17.0349"/>
    <n v="13"/>
    <n v="336"/>
    <n v="2943.3818999999999"/>
    <x v="2"/>
    <n v="42"/>
    <x v="2"/>
    <n v="19"/>
    <x v="2"/>
    <n v="1.7142857142857142"/>
    <x v="0"/>
    <n v="72"/>
    <n v="1"/>
    <x v="1"/>
    <n v="4.7081999999999997"/>
    <x v="4"/>
    <x v="0"/>
    <n v="6"/>
    <n v="955"/>
    <n v="26"/>
    <n v="4.4653"/>
    <x v="0"/>
    <n v="4.1378769999999996"/>
    <n v="413.79"/>
    <x v="0"/>
    <x v="1"/>
    <n v="589.97860000000003"/>
  </r>
  <r>
    <x v="0"/>
    <x v="83"/>
    <n v="68.911199999999994"/>
    <n v="82"/>
    <n v="663"/>
    <n v="2411.7546000000002"/>
    <x v="2"/>
    <n v="65"/>
    <x v="0"/>
    <n v="24"/>
    <x v="1"/>
    <n v="0.1076923076923077"/>
    <x v="1"/>
    <n v="7"/>
    <n v="8"/>
    <x v="0"/>
    <n v="4.9497999999999998"/>
    <x v="1"/>
    <x v="3"/>
    <n v="20"/>
    <n v="443"/>
    <n v="5"/>
    <n v="97.730599999999995"/>
    <x v="1"/>
    <n v="0.77300599999999997"/>
    <n v="77.3"/>
    <x v="0"/>
    <x v="2"/>
    <n v="682.971"/>
  </r>
  <r>
    <x v="0"/>
    <x v="84"/>
    <n v="89.104399999999998"/>
    <n v="99"/>
    <n v="618"/>
    <n v="2048.2901000000002"/>
    <x v="2"/>
    <n v="73"/>
    <x v="3"/>
    <n v="26"/>
    <x v="1"/>
    <n v="1.095890410958904"/>
    <x v="0"/>
    <n v="80"/>
    <n v="10"/>
    <x v="1"/>
    <n v="8.3816000000000006"/>
    <x v="2"/>
    <x v="4"/>
    <n v="24"/>
    <n v="589"/>
    <n v="22"/>
    <n v="33.808599999999998"/>
    <x v="2"/>
    <n v="4.8434569999999999"/>
    <n v="484.35"/>
    <x v="1"/>
    <x v="0"/>
    <n v="465.45699999999999"/>
  </r>
  <r>
    <x v="2"/>
    <x v="85"/>
    <n v="76.962999999999994"/>
    <n v="83"/>
    <n v="25"/>
    <n v="8684.6131000000005"/>
    <x v="1"/>
    <n v="15"/>
    <x v="1"/>
    <n v="18"/>
    <x v="2"/>
    <n v="4.4000000000000004"/>
    <x v="2"/>
    <n v="66"/>
    <n v="2"/>
    <x v="2"/>
    <n v="8.2492000000000001"/>
    <x v="2"/>
    <x v="4"/>
    <n v="4"/>
    <n v="211"/>
    <n v="2"/>
    <n v="69.929299999999998"/>
    <x v="1"/>
    <n v="1.3744289999999999"/>
    <n v="137.44"/>
    <x v="0"/>
    <x v="0"/>
    <n v="842.68679999999995"/>
  </r>
  <r>
    <x v="1"/>
    <x v="86"/>
    <n v="19.998200000000001"/>
    <n v="18"/>
    <n v="223"/>
    <n v="1229.5909999999999"/>
    <x v="2"/>
    <n v="32"/>
    <x v="2"/>
    <n v="14"/>
    <x v="2"/>
    <n v="0.6875"/>
    <x v="1"/>
    <n v="22"/>
    <n v="6"/>
    <x v="0"/>
    <n v="1.4542999999999999"/>
    <x v="1"/>
    <x v="0"/>
    <n v="4"/>
    <n v="569"/>
    <n v="18"/>
    <n v="74.608999999999995"/>
    <x v="2"/>
    <n v="2.0515129999999999"/>
    <n v="205.15"/>
    <x v="2"/>
    <x v="2"/>
    <n v="264.25490000000002"/>
  </r>
  <r>
    <x v="0"/>
    <x v="87"/>
    <n v="80.414000000000001"/>
    <n v="24"/>
    <n v="79"/>
    <n v="5133.8467000000001"/>
    <x v="3"/>
    <n v="5"/>
    <x v="1"/>
    <n v="7"/>
    <x v="0"/>
    <n v="11"/>
    <x v="2"/>
    <n v="55"/>
    <n v="10"/>
    <x v="1"/>
    <n v="6.5758000000000001"/>
    <x v="0"/>
    <x v="4"/>
    <n v="27"/>
    <n v="523"/>
    <n v="17"/>
    <n v="28.696999999999999"/>
    <x v="1"/>
    <n v="3.6937380000000002"/>
    <n v="369.37"/>
    <x v="3"/>
    <x v="0"/>
    <n v="879.35919999999999"/>
  </r>
  <r>
    <x v="2"/>
    <x v="88"/>
    <n v="75.270399999999995"/>
    <n v="58"/>
    <n v="737"/>
    <n v="9444.7420000000002"/>
    <x v="3"/>
    <n v="60"/>
    <x v="0"/>
    <n v="18"/>
    <x v="2"/>
    <n v="1.4166666666666667"/>
    <x v="0"/>
    <n v="85"/>
    <n v="7"/>
    <x v="1"/>
    <n v="3.8012999999999999"/>
    <x v="4"/>
    <x v="0"/>
    <n v="21"/>
    <n v="953"/>
    <n v="11"/>
    <n v="68.184899999999999"/>
    <x v="0"/>
    <n v="0.72220399999999996"/>
    <n v="72.22"/>
    <x v="3"/>
    <x v="2"/>
    <n v="103.9162"/>
  </r>
  <r>
    <x v="2"/>
    <x v="89"/>
    <n v="97.760099999999994"/>
    <n v="10"/>
    <n v="134"/>
    <n v="5924.6826000000001"/>
    <x v="2"/>
    <n v="90"/>
    <x v="3"/>
    <n v="1"/>
    <x v="0"/>
    <n v="0.3"/>
    <x v="1"/>
    <n v="27"/>
    <n v="8"/>
    <x v="0"/>
    <n v="9.9298000000000002"/>
    <x v="1"/>
    <x v="1"/>
    <n v="23"/>
    <n v="370"/>
    <n v="11"/>
    <n v="46.603900000000003"/>
    <x v="0"/>
    <n v="1.9076660000000001"/>
    <n v="190.77"/>
    <x v="2"/>
    <x v="0"/>
    <n v="517.5"/>
  </r>
  <r>
    <x v="1"/>
    <x v="90"/>
    <n v="13.8819"/>
    <n v="56"/>
    <n v="320"/>
    <n v="9592.6335999999992"/>
    <x v="0"/>
    <n v="66"/>
    <x v="0"/>
    <n v="18"/>
    <x v="2"/>
    <n v="1.4545454545454546"/>
    <x v="0"/>
    <n v="96"/>
    <n v="7"/>
    <x v="0"/>
    <n v="7.6744000000000003"/>
    <x v="0"/>
    <x v="3"/>
    <n v="8"/>
    <n v="585"/>
    <n v="8"/>
    <n v="85.676000000000002"/>
    <x v="2"/>
    <n v="1.219382"/>
    <n v="121.94"/>
    <x v="2"/>
    <x v="0"/>
    <n v="990.07849999999996"/>
  </r>
  <r>
    <x v="2"/>
    <x v="91"/>
    <n v="62.112000000000002"/>
    <n v="90"/>
    <n v="916"/>
    <n v="1935.2067999999999"/>
    <x v="3"/>
    <n v="98"/>
    <x v="3"/>
    <n v="22"/>
    <x v="1"/>
    <n v="0.86734693877551017"/>
    <x v="1"/>
    <n v="85"/>
    <n v="7"/>
    <x v="0"/>
    <n v="7.4714999999999998"/>
    <x v="3"/>
    <x v="2"/>
    <n v="5"/>
    <n v="207"/>
    <n v="28"/>
    <n v="39.7729"/>
    <x v="0"/>
    <n v="0.62600199999999995"/>
    <n v="62.6"/>
    <x v="2"/>
    <x v="0"/>
    <n v="996.77829999999994"/>
  </r>
  <r>
    <x v="2"/>
    <x v="92"/>
    <n v="47.714199999999998"/>
    <n v="44"/>
    <n v="276"/>
    <n v="2100.1298000000002"/>
    <x v="3"/>
    <n v="90"/>
    <x v="3"/>
    <n v="25"/>
    <x v="1"/>
    <n v="0.1111111111111111"/>
    <x v="1"/>
    <n v="10"/>
    <n v="8"/>
    <x v="0"/>
    <n v="4.4695"/>
    <x v="4"/>
    <x v="0"/>
    <n v="4"/>
    <n v="671"/>
    <n v="29"/>
    <n v="62.612699999999997"/>
    <x v="2"/>
    <n v="0.33343200000000001"/>
    <n v="33.340000000000003"/>
    <x v="2"/>
    <x v="0"/>
    <n v="230.09280000000001"/>
  </r>
  <r>
    <x v="0"/>
    <x v="93"/>
    <n v="69.290800000000004"/>
    <n v="88"/>
    <n v="114"/>
    <n v="4531.4021000000002"/>
    <x v="2"/>
    <n v="63"/>
    <x v="0"/>
    <n v="17"/>
    <x v="2"/>
    <n v="1.0476190476190477"/>
    <x v="0"/>
    <n v="66"/>
    <n v="1"/>
    <x v="2"/>
    <n v="7.0064000000000002"/>
    <x v="3"/>
    <x v="4"/>
    <n v="21"/>
    <n v="824"/>
    <n v="20"/>
    <n v="35.633699999999997"/>
    <x v="1"/>
    <n v="4.1657820000000001"/>
    <n v="416.58"/>
    <x v="1"/>
    <x v="2"/>
    <n v="823.52380000000005"/>
  </r>
  <r>
    <x v="2"/>
    <x v="94"/>
    <n v="3.0377000000000001"/>
    <n v="97"/>
    <n v="987"/>
    <n v="7888.3564999999999"/>
    <x v="2"/>
    <n v="77"/>
    <x v="3"/>
    <n v="26"/>
    <x v="1"/>
    <n v="0.93506493506493504"/>
    <x v="1"/>
    <n v="72"/>
    <n v="9"/>
    <x v="0"/>
    <n v="6.9428999999999998"/>
    <x v="4"/>
    <x v="2"/>
    <n v="12"/>
    <n v="908"/>
    <n v="14"/>
    <n v="60.3874"/>
    <x v="2"/>
    <n v="1.4636070000000001"/>
    <n v="146.36000000000001"/>
    <x v="2"/>
    <x v="0"/>
    <n v="846.6653"/>
  </r>
  <r>
    <x v="0"/>
    <x v="95"/>
    <n v="77.903899999999993"/>
    <n v="65"/>
    <n v="672"/>
    <n v="7386.3639000000003"/>
    <x v="2"/>
    <n v="15"/>
    <x v="1"/>
    <n v="14"/>
    <x v="2"/>
    <n v="1.7333333333333334"/>
    <x v="0"/>
    <n v="26"/>
    <n v="9"/>
    <x v="0"/>
    <n v="8.6303000000000001"/>
    <x v="3"/>
    <x v="0"/>
    <n v="18"/>
    <n v="450"/>
    <n v="26"/>
    <n v="58.890700000000002"/>
    <x v="0"/>
    <n v="1.210882"/>
    <n v="121.09"/>
    <x v="1"/>
    <x v="2"/>
    <n v="778.86419999999998"/>
  </r>
  <r>
    <x v="2"/>
    <x v="96"/>
    <n v="24.423100000000002"/>
    <n v="29"/>
    <n v="324"/>
    <n v="7698.4247999999998"/>
    <x v="0"/>
    <n v="67"/>
    <x v="0"/>
    <n v="2"/>
    <x v="0"/>
    <n v="0.47761194029850745"/>
    <x v="1"/>
    <n v="32"/>
    <n v="3"/>
    <x v="2"/>
    <n v="5.3529"/>
    <x v="0"/>
    <x v="0"/>
    <n v="28"/>
    <n v="648"/>
    <n v="28"/>
    <n v="17.803799999999999"/>
    <x v="0"/>
    <n v="3.8720479999999999"/>
    <n v="387.2"/>
    <x v="0"/>
    <x v="2"/>
    <n v="188.74209999999999"/>
  </r>
  <r>
    <x v="0"/>
    <x v="97"/>
    <n v="3.5261"/>
    <n v="56"/>
    <n v="62"/>
    <n v="4370.9165999999996"/>
    <x v="3"/>
    <n v="46"/>
    <x v="2"/>
    <n v="19"/>
    <x v="2"/>
    <n v="8.6956521739130432E-2"/>
    <x v="1"/>
    <n v="4"/>
    <n v="9"/>
    <x v="1"/>
    <n v="7.9047999999999998"/>
    <x v="3"/>
    <x v="0"/>
    <n v="10"/>
    <n v="535"/>
    <n v="13"/>
    <n v="65.765199999999993"/>
    <x v="1"/>
    <n v="3.3762379999999999"/>
    <n v="337.62"/>
    <x v="0"/>
    <x v="2"/>
    <n v="540.13239999999996"/>
  </r>
  <r>
    <x v="1"/>
    <x v="98"/>
    <n v="19.7546"/>
    <n v="43"/>
    <n v="913"/>
    <n v="8525.9526000000005"/>
    <x v="1"/>
    <n v="53"/>
    <x v="0"/>
    <n v="1"/>
    <x v="0"/>
    <n v="0.50943396226415094"/>
    <x v="1"/>
    <n v="27"/>
    <n v="7"/>
    <x v="0"/>
    <n v="1.4097999999999999"/>
    <x v="2"/>
    <x v="4"/>
    <n v="28"/>
    <n v="581"/>
    <n v="9"/>
    <n v="5.6047000000000002"/>
    <x v="0"/>
    <n v="2.9081220000000001"/>
    <n v="290.81"/>
    <x v="2"/>
    <x v="2"/>
    <n v="882.19889999999998"/>
  </r>
  <r>
    <x v="0"/>
    <x v="99"/>
    <n v="68.517799999999994"/>
    <n v="17"/>
    <n v="627"/>
    <n v="9185.1857999999993"/>
    <x v="2"/>
    <n v="55"/>
    <x v="0"/>
    <n v="8"/>
    <x v="0"/>
    <n v="1.0727272727272728"/>
    <x v="0"/>
    <n v="59"/>
    <n v="6"/>
    <x v="0"/>
    <n v="1.3109999999999999"/>
    <x v="4"/>
    <x v="4"/>
    <n v="29"/>
    <n v="921"/>
    <n v="2"/>
    <n v="38.072899999999997"/>
    <x v="1"/>
    <n v="0.34602699999999997"/>
    <n v="34.6"/>
    <x v="2"/>
    <x v="0"/>
    <n v="210.742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103CE6-D0FA-4BDB-BE3D-9FC55A5E0DC7}"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3:M104" firstHeaderRow="0" firstDataRow="1" firstDataCol="1"/>
  <pivotFields count="29">
    <pivotField showAll="0"/>
    <pivotField axis="axisRow" showAll="0" sortType="descending">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autoSortScope>
        <pivotArea dataOnly="0" outline="0" fieldPosition="0">
          <references count="1">
            <reference field="4294967294" count="1" selected="0">
              <x v="2"/>
            </reference>
          </references>
        </pivotArea>
      </autoSortScope>
    </pivotField>
    <pivotField dataField="1" numFmtId="164" showAll="0"/>
    <pivotField showAll="0"/>
    <pivotField dataField="1" showAll="0"/>
    <pivotField dataField="1"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1"/>
  </rowFields>
  <rowItems count="101">
    <i>
      <x v="47"/>
    </i>
    <i>
      <x v="32"/>
    </i>
    <i>
      <x v="25"/>
    </i>
    <i>
      <x v="90"/>
    </i>
    <i>
      <x v="12"/>
    </i>
    <i>
      <x v="26"/>
    </i>
    <i>
      <x v="64"/>
    </i>
    <i>
      <x v="87"/>
    </i>
    <i>
      <x v="48"/>
    </i>
    <i>
      <x v="10"/>
    </i>
    <i>
      <x v="99"/>
    </i>
    <i>
      <x v="28"/>
    </i>
    <i>
      <x v="17"/>
    </i>
    <i>
      <x v="57"/>
    </i>
    <i>
      <x v="16"/>
    </i>
    <i>
      <x v="84"/>
    </i>
    <i>
      <x/>
    </i>
    <i>
      <x v="6"/>
    </i>
    <i>
      <x v="79"/>
    </i>
    <i>
      <x v="98"/>
    </i>
    <i>
      <x v="67"/>
    </i>
    <i>
      <x v="61"/>
    </i>
    <i>
      <x v="63"/>
    </i>
    <i>
      <x v="62"/>
    </i>
    <i>
      <x v="22"/>
    </i>
    <i>
      <x v="49"/>
    </i>
    <i>
      <x v="69"/>
    </i>
    <i>
      <x v="13"/>
    </i>
    <i>
      <x v="44"/>
    </i>
    <i>
      <x v="71"/>
    </i>
    <i>
      <x v="77"/>
    </i>
    <i>
      <x v="94"/>
    </i>
    <i>
      <x v="56"/>
    </i>
    <i>
      <x v="23"/>
    </i>
    <i>
      <x v="96"/>
    </i>
    <i>
      <x v="30"/>
    </i>
    <i>
      <x v="78"/>
    </i>
    <i>
      <x v="1"/>
    </i>
    <i>
      <x v="43"/>
    </i>
    <i>
      <x v="95"/>
    </i>
    <i>
      <x v="39"/>
    </i>
    <i>
      <x v="42"/>
    </i>
    <i>
      <x v="14"/>
    </i>
    <i>
      <x v="68"/>
    </i>
    <i>
      <x v="58"/>
    </i>
    <i>
      <x v="29"/>
    </i>
    <i>
      <x v="8"/>
    </i>
    <i>
      <x v="21"/>
    </i>
    <i>
      <x v="3"/>
    </i>
    <i>
      <x v="50"/>
    </i>
    <i>
      <x v="88"/>
    </i>
    <i>
      <x v="46"/>
    </i>
    <i>
      <x v="38"/>
    </i>
    <i>
      <x v="35"/>
    </i>
    <i>
      <x v="72"/>
    </i>
    <i>
      <x v="36"/>
    </i>
    <i>
      <x v="7"/>
    </i>
    <i>
      <x v="74"/>
    </i>
    <i>
      <x v="40"/>
    </i>
    <i>
      <x v="27"/>
    </i>
    <i>
      <x v="86"/>
    </i>
    <i>
      <x v="89"/>
    </i>
    <i>
      <x v="52"/>
    </i>
    <i>
      <x v="93"/>
    </i>
    <i>
      <x v="80"/>
    </i>
    <i>
      <x v="97"/>
    </i>
    <i>
      <x v="60"/>
    </i>
    <i>
      <x v="5"/>
    </i>
    <i>
      <x v="59"/>
    </i>
    <i>
      <x v="19"/>
    </i>
    <i>
      <x v="65"/>
    </i>
    <i>
      <x v="81"/>
    </i>
    <i>
      <x v="51"/>
    </i>
    <i>
      <x v="4"/>
    </i>
    <i>
      <x v="45"/>
    </i>
    <i>
      <x v="24"/>
    </i>
    <i>
      <x v="34"/>
    </i>
    <i>
      <x v="20"/>
    </i>
    <i>
      <x v="70"/>
    </i>
    <i>
      <x v="9"/>
    </i>
    <i>
      <x v="41"/>
    </i>
    <i>
      <x v="11"/>
    </i>
    <i>
      <x v="75"/>
    </i>
    <i>
      <x v="31"/>
    </i>
    <i>
      <x v="82"/>
    </i>
    <i>
      <x v="15"/>
    </i>
    <i>
      <x v="2"/>
    </i>
    <i>
      <x v="18"/>
    </i>
    <i>
      <x v="92"/>
    </i>
    <i>
      <x v="83"/>
    </i>
    <i>
      <x v="54"/>
    </i>
    <i>
      <x v="91"/>
    </i>
    <i>
      <x v="33"/>
    </i>
    <i>
      <x v="73"/>
    </i>
    <i>
      <x v="37"/>
    </i>
    <i>
      <x v="66"/>
    </i>
    <i>
      <x v="53"/>
    </i>
    <i>
      <x v="76"/>
    </i>
    <i>
      <x v="85"/>
    </i>
    <i>
      <x v="55"/>
    </i>
    <i t="grand">
      <x/>
    </i>
  </rowItems>
  <colFields count="1">
    <field x="-2"/>
  </colFields>
  <colItems count="3">
    <i>
      <x/>
    </i>
    <i i="1">
      <x v="1"/>
    </i>
    <i i="2">
      <x v="2"/>
    </i>
  </colItems>
  <dataFields count="3">
    <dataField name="Average of Price" fld="2" subtotal="average" baseField="1" baseItem="0" numFmtId="164"/>
    <dataField name="Sum of Number of products sold" fld="4" baseField="0" baseItem="0"/>
    <dataField name="Sum of Revenue generated"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837D39-01D1-4AFF-BB18-55BD5E3C011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1:S142" firstHeaderRow="0" firstDataRow="1" firstDataCol="1"/>
  <pivotFields count="29">
    <pivotField showAll="0">
      <items count="4">
        <item x="2"/>
        <item x="0"/>
        <item x="1"/>
        <item t="default"/>
      </items>
    </pivotField>
    <pivotField axis="axisRow" showAll="0" sortType="ascending">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autoSortScope>
        <pivotArea dataOnly="0" outline="0" fieldPosition="0">
          <references count="1">
            <reference field="4294967294" count="1" selected="0">
              <x v="1"/>
            </reference>
          </references>
        </pivotArea>
      </autoSortScope>
    </pivotField>
    <pivotField numFmtId="164" showAll="0"/>
    <pivotField dataField="1" showAll="0"/>
    <pivotField dataField="1" showAll="0"/>
    <pivotField numFmtId="164" showAll="0"/>
    <pivotField showAll="0"/>
    <pivotField numFmtId="1" showAll="0"/>
    <pivotField showAll="0"/>
    <pivotField numFmtId="1" showAll="0"/>
    <pivotField showAll="0"/>
    <pivotField numFmtId="1" showAll="0"/>
    <pivotField showAll="0"/>
    <pivotField dataField="1"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1"/>
  </rowFields>
  <rowItems count="101">
    <i>
      <x v="40"/>
    </i>
    <i>
      <x v="48"/>
    </i>
    <i>
      <x v="22"/>
    </i>
    <i>
      <x v="31"/>
    </i>
    <i>
      <x v="5"/>
    </i>
    <i>
      <x v="38"/>
    </i>
    <i>
      <x v="19"/>
    </i>
    <i>
      <x v="80"/>
    </i>
    <i>
      <x v="88"/>
    </i>
    <i>
      <x v="24"/>
    </i>
    <i>
      <x v="50"/>
    </i>
    <i>
      <x v="61"/>
    </i>
    <i>
      <x v="29"/>
    </i>
    <i>
      <x v="2"/>
    </i>
    <i>
      <x v="21"/>
    </i>
    <i>
      <x v="81"/>
    </i>
    <i>
      <x v="69"/>
    </i>
    <i>
      <x v="75"/>
    </i>
    <i>
      <x v="51"/>
    </i>
    <i>
      <x v="64"/>
    </i>
    <i>
      <x v="57"/>
    </i>
    <i>
      <x v="99"/>
    </i>
    <i>
      <x v="85"/>
    </i>
    <i>
      <x v="44"/>
    </i>
    <i>
      <x v="13"/>
    </i>
    <i>
      <x v="10"/>
    </i>
    <i>
      <x v="58"/>
    </i>
    <i>
      <x v="74"/>
    </i>
    <i>
      <x v="86"/>
    </i>
    <i>
      <x v="34"/>
    </i>
    <i>
      <x v="33"/>
    </i>
    <i>
      <x v="6"/>
    </i>
    <i>
      <x v="25"/>
    </i>
    <i>
      <x v="43"/>
    </i>
    <i>
      <x v="96"/>
    </i>
    <i>
      <x v="65"/>
    </i>
    <i>
      <x v="73"/>
    </i>
    <i>
      <x v="55"/>
    </i>
    <i>
      <x v="16"/>
    </i>
    <i>
      <x v="17"/>
    </i>
    <i>
      <x v="12"/>
    </i>
    <i>
      <x v="30"/>
    </i>
    <i>
      <x v="39"/>
    </i>
    <i>
      <x v="36"/>
    </i>
    <i>
      <x v="89"/>
    </i>
    <i>
      <x v="71"/>
    </i>
    <i>
      <x v="4"/>
    </i>
    <i>
      <x v="20"/>
    </i>
    <i>
      <x v="98"/>
    </i>
    <i>
      <x v="26"/>
    </i>
    <i>
      <x v="92"/>
    </i>
    <i>
      <x v="56"/>
    </i>
    <i>
      <x v="76"/>
    </i>
    <i>
      <x v="63"/>
    </i>
    <i>
      <x v="60"/>
    </i>
    <i>
      <x/>
    </i>
    <i>
      <x v="15"/>
    </i>
    <i>
      <x v="77"/>
    </i>
    <i>
      <x v="97"/>
    </i>
    <i>
      <x v="90"/>
    </i>
    <i>
      <x v="87"/>
    </i>
    <i>
      <x v="67"/>
    </i>
    <i>
      <x v="14"/>
    </i>
    <i>
      <x v="47"/>
    </i>
    <i>
      <x v="66"/>
    </i>
    <i>
      <x v="27"/>
    </i>
    <i>
      <x v="72"/>
    </i>
    <i>
      <x v="53"/>
    </i>
    <i>
      <x v="95"/>
    </i>
    <i>
      <x v="23"/>
    </i>
    <i>
      <x v="62"/>
    </i>
    <i>
      <x v="18"/>
    </i>
    <i>
      <x v="8"/>
    </i>
    <i>
      <x v="79"/>
    </i>
    <i>
      <x v="32"/>
    </i>
    <i>
      <x v="41"/>
    </i>
    <i>
      <x v="78"/>
    </i>
    <i>
      <x v="54"/>
    </i>
    <i>
      <x v="9"/>
    </i>
    <i>
      <x v="82"/>
    </i>
    <i>
      <x v="84"/>
    </i>
    <i>
      <x v="45"/>
    </i>
    <i>
      <x v="93"/>
    </i>
    <i>
      <x v="70"/>
    </i>
    <i>
      <x v="59"/>
    </i>
    <i>
      <x v="52"/>
    </i>
    <i>
      <x v="91"/>
    </i>
    <i>
      <x v="68"/>
    </i>
    <i>
      <x v="46"/>
    </i>
    <i>
      <x v="49"/>
    </i>
    <i>
      <x v="42"/>
    </i>
    <i>
      <x v="7"/>
    </i>
    <i>
      <x v="3"/>
    </i>
    <i>
      <x v="1"/>
    </i>
    <i>
      <x v="28"/>
    </i>
    <i>
      <x v="94"/>
    </i>
    <i>
      <x v="35"/>
    </i>
    <i>
      <x v="37"/>
    </i>
    <i>
      <x v="83"/>
    </i>
    <i>
      <x v="11"/>
    </i>
    <i t="grand">
      <x/>
    </i>
  </rowItems>
  <colFields count="1">
    <field x="-2"/>
  </colFields>
  <colItems count="3">
    <i>
      <x/>
    </i>
    <i i="1">
      <x v="1"/>
    </i>
    <i i="2">
      <x v="2"/>
    </i>
  </colItems>
  <dataFields count="3">
    <dataField name="Sum of Number of products sold" fld="4" baseField="0" baseItem="0"/>
    <dataField name="Sum of Availability" fld="3" baseField="0" baseItem="0"/>
    <dataField name="Average of Order quantities" fld="13" subtotal="average" baseField="1" baseItem="4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CBBDEA-1D7D-4E5B-B55F-D287EBB1DB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0" firstDataRow="1" firstDataCol="1"/>
  <pivotFields count="29">
    <pivotField axis="axisRow" showAll="0" sortType="descending">
      <items count="4">
        <item x="2"/>
        <item x="0"/>
        <item x="1"/>
        <item t="default"/>
      </items>
      <autoSortScope>
        <pivotArea dataOnly="0" outline="0" fieldPosition="0">
          <references count="1">
            <reference field="4294967294" count="1" selected="0">
              <x v="1"/>
            </reference>
          </references>
        </pivotArea>
      </autoSortScope>
    </pivotField>
    <pivotField showAll="0"/>
    <pivotField dataField="1" numFmtId="164" showAll="0"/>
    <pivotField showAll="0"/>
    <pivotField dataField="1" showAll="0"/>
    <pivotField dataField="1"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0"/>
  </rowFields>
  <rowItems count="4">
    <i>
      <x v="2"/>
    </i>
    <i>
      <x v="1"/>
    </i>
    <i>
      <x/>
    </i>
    <i t="grand">
      <x/>
    </i>
  </rowItems>
  <colFields count="1">
    <field x="-2"/>
  </colFields>
  <colItems count="3">
    <i>
      <x/>
    </i>
    <i i="1">
      <x v="1"/>
    </i>
    <i i="2">
      <x v="2"/>
    </i>
  </colItems>
  <dataFields count="3">
    <dataField name="Average of Price" fld="2" subtotal="average" baseField="0" baseItem="2" numFmtId="164"/>
    <dataField name="Sum of Revenue generated" fld="5" baseField="0" baseItem="0" numFmtId="164"/>
    <dataField name="Sum of Number of produc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888B1C-F3E0-49CB-8AB8-2033C0FC04A5}"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9:B13" firstHeaderRow="1" firstDataRow="1" firstDataCol="1"/>
  <pivotFields count="29">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dataField="1"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0"/>
  </rowFields>
  <rowItems count="4">
    <i>
      <x v="2"/>
    </i>
    <i>
      <x v="1"/>
    </i>
    <i>
      <x/>
    </i>
    <i t="grand">
      <x/>
    </i>
  </rowItems>
  <colItems count="1">
    <i/>
  </colItems>
  <dataFields count="1">
    <dataField name="Sum of Number of produc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1E2FE0-E1A6-45BB-8A8A-13132CDC8271}"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2:G6" firstHeaderRow="1" firstDataRow="1" firstDataCol="1"/>
  <pivotFields count="29">
    <pivotField axis="axisRow" showAll="0">
      <items count="4">
        <item x="2"/>
        <item x="0"/>
        <item x="1"/>
        <item t="default"/>
      </items>
    </pivotField>
    <pivotField showAll="0"/>
    <pivotField numFmtId="164" showAll="0"/>
    <pivotField dataField="1" showAll="0"/>
    <pivotField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0"/>
  </rowFields>
  <rowItems count="4">
    <i>
      <x/>
    </i>
    <i>
      <x v="1"/>
    </i>
    <i>
      <x v="2"/>
    </i>
    <i t="grand">
      <x/>
    </i>
  </rowItems>
  <colItems count="1">
    <i/>
  </colItems>
  <dataFields count="1">
    <dataField name="Sum of Availabil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9ADBCD-8889-492C-830F-2DC4EBB2C81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E15" firstHeaderRow="1" firstDataRow="1" firstDataCol="1"/>
  <pivotFields count="29">
    <pivotField showAll="0"/>
    <pivotField showAll="0"/>
    <pivotField dataField="1" numFmtId="164" showAll="0"/>
    <pivotField showAll="0"/>
    <pivotField showAll="0"/>
    <pivotField numFmtId="164" showAll="0"/>
    <pivotField axis="axisRow" showAll="0">
      <items count="5">
        <item x="1"/>
        <item x="3"/>
        <item x="0"/>
        <item x="2"/>
        <item t="default"/>
      </items>
    </pivotField>
    <pivotField numFmtId="1" showAll="0"/>
    <pivotField showAll="0"/>
    <pivotField numFmtId="1" showAll="0"/>
    <pivotField showAll="0"/>
    <pivotField numFmtId="1" showAll="0"/>
    <pivotField showAll="0"/>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6"/>
  </rowFields>
  <rowItems count="5">
    <i>
      <x/>
    </i>
    <i>
      <x v="1"/>
    </i>
    <i>
      <x v="2"/>
    </i>
    <i>
      <x v="3"/>
    </i>
    <i t="grand">
      <x/>
    </i>
  </rowItems>
  <colItems count="1">
    <i/>
  </colItems>
  <dataFields count="1">
    <dataField name="Average of Price" fld="2" subtotal="average" baseField="6"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5126A4-9B53-4918-B988-2DE72BF274C2}"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17:I22" firstHeaderRow="1" firstDataRow="2" firstDataCol="1"/>
  <pivotFields count="29">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dataField="1" showAll="0"/>
    <pivotField numFmtId="164" showAll="0"/>
    <pivotField axis="axisCol"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numFmtId="1" showAll="0"/>
    <pivotField showAll="0"/>
    <pivotField numFmtId="1" showAll="0"/>
    <pivotField showAll="0"/>
    <pivotField numFmtId="1" showAll="0"/>
    <pivotField showAll="0"/>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0"/>
  </rowFields>
  <rowItems count="4">
    <i>
      <x v="2"/>
    </i>
    <i>
      <x v="1"/>
    </i>
    <i>
      <x/>
    </i>
    <i t="grand">
      <x/>
    </i>
  </rowItems>
  <colFields count="1">
    <field x="6"/>
  </colFields>
  <colItems count="5">
    <i>
      <x v="3"/>
    </i>
    <i>
      <x/>
    </i>
    <i>
      <x v="2"/>
    </i>
    <i>
      <x v="1"/>
    </i>
    <i t="grand">
      <x/>
    </i>
  </colItems>
  <dataFields count="1">
    <dataField name="Sum of Number of produc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B96A44-E9D6-4260-8C28-19C7481D464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7:P21" firstHeaderRow="0" firstDataRow="1" firstDataCol="1"/>
  <pivotFields count="29">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numFmtId="164" showAll="0"/>
    <pivotField dataField="1" showAll="0"/>
    <pivotField dataField="1"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0"/>
  </rowFields>
  <rowItems count="4">
    <i>
      <x v="2"/>
    </i>
    <i>
      <x v="1"/>
    </i>
    <i>
      <x/>
    </i>
    <i t="grand">
      <x/>
    </i>
  </rowItems>
  <colFields count="1">
    <field x="-2"/>
  </colFields>
  <colItems count="2">
    <i>
      <x/>
    </i>
    <i i="1">
      <x v="1"/>
    </i>
  </colItems>
  <dataFields count="2">
    <dataField name="Sum of Availability" fld="3" baseField="0" baseItem="0"/>
    <dataField name="Sum of Number of produc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3099BD-3876-42D3-9498-4A5209C45BA1}"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7:C118" firstHeaderRow="0" firstDataRow="1" firstDataCol="1"/>
  <pivotFields count="29">
    <pivotField showAll="0">
      <items count="4">
        <item x="2"/>
        <item x="0"/>
        <item x="1"/>
        <item t="default"/>
      </items>
    </pivotField>
    <pivotField axis="axisRow" showAll="0" sortType="ascending">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autoSortScope>
        <pivotArea dataOnly="0" outline="0" fieldPosition="0">
          <references count="1">
            <reference field="4294967294" count="1" selected="0">
              <x v="0"/>
            </reference>
          </references>
        </pivotArea>
      </autoSortScope>
    </pivotField>
    <pivotField numFmtId="164" showAll="0"/>
    <pivotField showAll="0"/>
    <pivotField dataField="1" showAll="0"/>
    <pivotField dataField="1"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1"/>
  </rowFields>
  <rowItems count="101">
    <i>
      <x v="55"/>
    </i>
    <i>
      <x v="85"/>
    </i>
    <i>
      <x v="76"/>
    </i>
    <i>
      <x v="53"/>
    </i>
    <i>
      <x v="66"/>
    </i>
    <i>
      <x v="37"/>
    </i>
    <i>
      <x v="73"/>
    </i>
    <i>
      <x v="33"/>
    </i>
    <i>
      <x v="91"/>
    </i>
    <i>
      <x v="54"/>
    </i>
    <i>
      <x v="83"/>
    </i>
    <i>
      <x v="92"/>
    </i>
    <i>
      <x v="18"/>
    </i>
    <i>
      <x v="2"/>
    </i>
    <i>
      <x v="15"/>
    </i>
    <i>
      <x v="82"/>
    </i>
    <i>
      <x v="31"/>
    </i>
    <i>
      <x v="75"/>
    </i>
    <i>
      <x v="11"/>
    </i>
    <i>
      <x v="41"/>
    </i>
    <i>
      <x v="9"/>
    </i>
    <i>
      <x v="70"/>
    </i>
    <i>
      <x v="20"/>
    </i>
    <i>
      <x v="34"/>
    </i>
    <i>
      <x v="24"/>
    </i>
    <i>
      <x v="45"/>
    </i>
    <i>
      <x v="4"/>
    </i>
    <i>
      <x v="51"/>
    </i>
    <i>
      <x v="81"/>
    </i>
    <i>
      <x v="65"/>
    </i>
    <i>
      <x v="19"/>
    </i>
    <i>
      <x v="59"/>
    </i>
    <i>
      <x v="5"/>
    </i>
    <i>
      <x v="60"/>
    </i>
    <i>
      <x v="97"/>
    </i>
    <i>
      <x v="80"/>
    </i>
    <i>
      <x v="93"/>
    </i>
    <i>
      <x v="52"/>
    </i>
    <i>
      <x v="89"/>
    </i>
    <i>
      <x v="86"/>
    </i>
    <i>
      <x v="27"/>
    </i>
    <i>
      <x v="40"/>
    </i>
    <i>
      <x v="74"/>
    </i>
    <i>
      <x v="7"/>
    </i>
    <i>
      <x v="36"/>
    </i>
    <i>
      <x v="72"/>
    </i>
    <i>
      <x v="35"/>
    </i>
    <i>
      <x v="38"/>
    </i>
    <i>
      <x v="46"/>
    </i>
    <i>
      <x v="88"/>
    </i>
    <i>
      <x v="50"/>
    </i>
    <i>
      <x v="3"/>
    </i>
    <i>
      <x v="21"/>
    </i>
    <i>
      <x v="8"/>
    </i>
    <i>
      <x v="29"/>
    </i>
    <i>
      <x v="58"/>
    </i>
    <i>
      <x v="68"/>
    </i>
    <i>
      <x v="14"/>
    </i>
    <i>
      <x v="42"/>
    </i>
    <i>
      <x v="39"/>
    </i>
    <i>
      <x v="95"/>
    </i>
    <i>
      <x v="43"/>
    </i>
    <i>
      <x v="1"/>
    </i>
    <i>
      <x v="78"/>
    </i>
    <i>
      <x v="30"/>
    </i>
    <i>
      <x v="96"/>
    </i>
    <i>
      <x v="23"/>
    </i>
    <i>
      <x v="56"/>
    </i>
    <i>
      <x v="94"/>
    </i>
    <i>
      <x v="77"/>
    </i>
    <i>
      <x v="71"/>
    </i>
    <i>
      <x v="44"/>
    </i>
    <i>
      <x v="13"/>
    </i>
    <i>
      <x v="69"/>
    </i>
    <i>
      <x v="49"/>
    </i>
    <i>
      <x v="22"/>
    </i>
    <i>
      <x v="62"/>
    </i>
    <i>
      <x v="63"/>
    </i>
    <i>
      <x v="61"/>
    </i>
    <i>
      <x v="67"/>
    </i>
    <i>
      <x v="98"/>
    </i>
    <i>
      <x v="79"/>
    </i>
    <i>
      <x v="6"/>
    </i>
    <i>
      <x/>
    </i>
    <i>
      <x v="84"/>
    </i>
    <i>
      <x v="16"/>
    </i>
    <i>
      <x v="57"/>
    </i>
    <i>
      <x v="17"/>
    </i>
    <i>
      <x v="28"/>
    </i>
    <i>
      <x v="99"/>
    </i>
    <i>
      <x v="10"/>
    </i>
    <i>
      <x v="48"/>
    </i>
    <i>
      <x v="87"/>
    </i>
    <i>
      <x v="64"/>
    </i>
    <i>
      <x v="26"/>
    </i>
    <i>
      <x v="12"/>
    </i>
    <i>
      <x v="90"/>
    </i>
    <i>
      <x v="25"/>
    </i>
    <i>
      <x v="32"/>
    </i>
    <i>
      <x v="47"/>
    </i>
    <i t="grand">
      <x/>
    </i>
  </rowItems>
  <colFields count="1">
    <field x="-2"/>
  </colFields>
  <colItems count="2">
    <i>
      <x/>
    </i>
    <i i="1">
      <x v="1"/>
    </i>
  </colItems>
  <dataFields count="2">
    <dataField name="Sum of Revenue generated" fld="5" baseField="0" baseItem="0" numFmtId="164"/>
    <dataField name="Sum of Number of produc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DF540E-0CB5-44CA-B8D6-71D85374C5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C30" firstHeaderRow="0" firstDataRow="1" firstDataCol="1"/>
  <pivotFields count="29">
    <pivotField showAll="0"/>
    <pivotField axis="axisRow" showAll="0" measureFilter="1" sortType="descending">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autoSortScope>
        <pivotArea dataOnly="0" outline="0" fieldPosition="0">
          <references count="1">
            <reference field="4294967294" count="1" selected="0">
              <x v="1"/>
            </reference>
          </references>
        </pivotArea>
      </autoSortScope>
    </pivotField>
    <pivotField numFmtId="164" showAll="0"/>
    <pivotField showAll="0"/>
    <pivotField showAll="0"/>
    <pivotField numFmtId="164" showAll="0"/>
    <pivotField showAll="0"/>
    <pivotField dataField="1" numFmtId="1" showAll="0"/>
    <pivotField showAll="0"/>
    <pivotField numFmtId="1" showAll="0"/>
    <pivotField showAll="0"/>
    <pivotField numFmtId="1" showAll="0"/>
    <pivotField showAll="0"/>
    <pivotField dataField="1"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1"/>
  </rowFields>
  <rowItems count="21">
    <i>
      <x/>
    </i>
    <i>
      <x v="90"/>
    </i>
    <i>
      <x v="27"/>
    </i>
    <i>
      <x v="11"/>
    </i>
    <i>
      <x v="32"/>
    </i>
    <i>
      <x v="12"/>
    </i>
    <i>
      <x v="87"/>
    </i>
    <i>
      <x v="38"/>
    </i>
    <i>
      <x v="91"/>
    </i>
    <i>
      <x v="9"/>
    </i>
    <i>
      <x v="4"/>
    </i>
    <i>
      <x v="29"/>
    </i>
    <i>
      <x v="89"/>
    </i>
    <i>
      <x v="52"/>
    </i>
    <i>
      <x v="46"/>
    </i>
    <i>
      <x v="2"/>
    </i>
    <i>
      <x v="83"/>
    </i>
    <i>
      <x v="6"/>
    </i>
    <i>
      <x v="8"/>
    </i>
    <i>
      <x v="70"/>
    </i>
    <i t="grand">
      <x/>
    </i>
  </rowItems>
  <colFields count="1">
    <field x="-2"/>
  </colFields>
  <colItems count="2">
    <i>
      <x/>
    </i>
    <i i="1">
      <x v="1"/>
    </i>
  </colItems>
  <dataFields count="2">
    <dataField name="Sum of Stock levels" fld="7" baseField="0" baseItem="0" numFmtId="1"/>
    <dataField name="Average of Order quantities" fld="13" subtotal="average" baseField="1" baseItem="0" numFmtId="1"/>
  </dataFields>
  <conditionalFormats count="1">
    <conditionalFormat priority="2">
      <pivotAreas count="1">
        <pivotArea type="data" collapsedLevelsAreSubtotals="1" fieldPosition="0">
          <references count="2">
            <reference field="4294967294" count="1" selected="0">
              <x v="0"/>
            </reference>
            <reference field="1" count="10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pivotAreas>
    </conditionalFormat>
  </conditionalFormats>
  <pivotTableStyleInfo name="PivotStyleLight16" showRowHeaders="1" showColHeaders="1" showRowStripes="0" showColStripes="0" showLastColumn="1"/>
  <filters count="1">
    <filter fld="1" type="count" evalOrder="-1" id="1" iMeasureFld="1">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DE6C955-49F6-4F76-8698-9DD88B361C3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0:K14" firstHeaderRow="1" firstDataRow="1" firstDataCol="1"/>
  <pivotFields count="29">
    <pivotField showAll="0"/>
    <pivotField dataField="1" showAll="0"/>
    <pivotField numFmtId="164" showAll="0"/>
    <pivotField showAll="0"/>
    <pivotField showAll="0"/>
    <pivotField numFmtId="164" showAll="0"/>
    <pivotField showAll="0"/>
    <pivotField numFmtId="1" showAll="0"/>
    <pivotField showAll="0">
      <items count="5">
        <item x="1"/>
        <item x="2"/>
        <item h="1" x="0"/>
        <item h="1" x="3"/>
        <item t="default"/>
      </items>
    </pivotField>
    <pivotField numFmtId="1" showAll="0"/>
    <pivotField axis="axisRow" showAll="0">
      <items count="4">
        <item x="1"/>
        <item x="0"/>
        <item x="2"/>
        <item t="default"/>
      </items>
    </pivotField>
    <pivotField numFmtId="1" showAll="0"/>
    <pivotField showAll="0"/>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10"/>
  </rowFields>
  <rowItems count="4">
    <i>
      <x/>
    </i>
    <i>
      <x v="1"/>
    </i>
    <i>
      <x v="2"/>
    </i>
    <i t="grand">
      <x/>
    </i>
  </rowItems>
  <colItems count="1">
    <i/>
  </colItems>
  <dataFields count="1">
    <dataField name="Count of SKU"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63211D-FBAD-47D3-B347-7A5553AD470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H36" firstHeaderRow="0" firstDataRow="1" firstDataCol="1"/>
  <pivotFields count="29">
    <pivotField showAll="0"/>
    <pivotField axis="axisRow" showAll="0" measureFilter="1" sortType="ascending">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autoSortScope>
        <pivotArea dataOnly="0" outline="0" fieldPosition="0">
          <references count="1">
            <reference field="4294967294" count="1" selected="0">
              <x v="1"/>
            </reference>
          </references>
        </pivotArea>
      </autoSortScope>
    </pivotField>
    <pivotField numFmtId="164" showAll="0"/>
    <pivotField showAll="0"/>
    <pivotField showAll="0"/>
    <pivotField numFmtId="164" showAll="0"/>
    <pivotField showAll="0"/>
    <pivotField dataField="1" numFmtId="1" showAll="0"/>
    <pivotField showAll="0"/>
    <pivotField numFmtId="1" showAll="0"/>
    <pivotField showAll="0"/>
    <pivotField numFmtId="1" showAll="0"/>
    <pivotField showAll="0"/>
    <pivotField dataField="1"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1"/>
  </rowFields>
  <rowItems count="27">
    <i>
      <x v="72"/>
    </i>
    <i>
      <x v="17"/>
    </i>
    <i>
      <x v="97"/>
    </i>
    <i>
      <x v="41"/>
    </i>
    <i>
      <x v="82"/>
    </i>
    <i>
      <x v="14"/>
    </i>
    <i>
      <x v="80"/>
    </i>
    <i>
      <x v="44"/>
    </i>
    <i>
      <x v="43"/>
    </i>
    <i>
      <x v="60"/>
    </i>
    <i>
      <x v="92"/>
    </i>
    <i>
      <x v="51"/>
    </i>
    <i>
      <x v="67"/>
    </i>
    <i>
      <x v="48"/>
    </i>
    <i>
      <x v="78"/>
    </i>
    <i>
      <x v="63"/>
    </i>
    <i>
      <x v="77"/>
    </i>
    <i>
      <x v="31"/>
    </i>
    <i>
      <x v="28"/>
    </i>
    <i>
      <x v="74"/>
    </i>
    <i>
      <x v="68"/>
    </i>
    <i>
      <x v="85"/>
    </i>
    <i>
      <x v="21"/>
    </i>
    <i>
      <x v="95"/>
    </i>
    <i>
      <x v="55"/>
    </i>
    <i>
      <x v="69"/>
    </i>
    <i t="grand">
      <x/>
    </i>
  </rowItems>
  <colFields count="1">
    <field x="-2"/>
  </colFields>
  <colItems count="2">
    <i>
      <x/>
    </i>
    <i i="1">
      <x v="1"/>
    </i>
  </colItems>
  <dataFields count="2">
    <dataField name="Sum of Stock levels" fld="7" baseField="0" baseItem="0" numFmtId="1"/>
    <dataField name="Average of Order quantities" fld="13" subtotal="average" baseField="1" baseItem="0" numFmtId="1"/>
  </dataFields>
  <conditionalFormats count="1">
    <conditionalFormat priority="1">
      <pivotAreas count="1">
        <pivotArea type="data" collapsedLevelsAreSubtotals="1" fieldPosition="0">
          <references count="2">
            <reference field="4294967294" count="1" selected="0">
              <x v="0"/>
            </reference>
            <reference field="1" count="10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pivotAreas>
    </conditionalFormat>
  </conditionalFormats>
  <pivotTableStyleInfo name="PivotStyleLight16" showRowHeaders="1" showColHeaders="1" showRowStripes="0" showColStripes="0" showLastColumn="1"/>
  <filters count="1">
    <filter fld="1" type="count" evalOrder="-1" id="3" iMeasureFld="1">
      <autoFilter ref="A1">
        <filterColumn colId="0">
          <top10 top="0"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89E3884-05A2-414A-B263-03F0CC4B506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29">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pivotField numFmtId="164" showAll="0"/>
    <pivotField showAll="0"/>
    <pivotField dataField="1" numFmtId="1" showAll="0"/>
    <pivotField showAll="0"/>
    <pivotField dataField="1" numFmtId="1" showAll="0"/>
    <pivotField showAll="0"/>
    <pivotField numFmtId="1" showAll="0"/>
    <pivotField showAll="0"/>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0"/>
  </rowFields>
  <rowItems count="4">
    <i>
      <x v="1"/>
    </i>
    <i>
      <x v="2"/>
    </i>
    <i>
      <x/>
    </i>
    <i t="grand">
      <x/>
    </i>
  </rowItems>
  <colFields count="1">
    <field x="-2"/>
  </colFields>
  <colItems count="2">
    <i>
      <x/>
    </i>
    <i i="1">
      <x v="1"/>
    </i>
  </colItems>
  <dataFields count="2">
    <dataField name="Sum of Stock levels" fld="7" baseField="0" baseItem="0" numFmtId="1"/>
    <dataField name="Average of Lead times" fld="9" subtotal="average" baseField="0"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30FF952-AAD2-4953-BCA3-466E8CE519F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L8" firstHeaderRow="0" firstDataRow="1" firstDataCol="1"/>
  <pivotFields count="29">
    <pivotField showAll="0"/>
    <pivotField dataField="1" showAll="0"/>
    <pivotField numFmtId="164" showAll="0"/>
    <pivotField showAll="0"/>
    <pivotField showAll="0"/>
    <pivotField numFmtId="164" showAll="0"/>
    <pivotField showAll="0"/>
    <pivotField numFmtId="1" showAll="0"/>
    <pivotField axis="axisRow" showAll="0">
      <items count="5">
        <item x="1"/>
        <item x="2"/>
        <item x="0"/>
        <item x="3"/>
        <item t="default"/>
      </items>
    </pivotField>
    <pivotField dataField="1" numFmtId="1" showAll="0"/>
    <pivotField showAll="0"/>
    <pivotField numFmtId="1" showAll="0"/>
    <pivotField showAll="0"/>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8"/>
  </rowFields>
  <rowItems count="5">
    <i>
      <x/>
    </i>
    <i>
      <x v="1"/>
    </i>
    <i>
      <x v="2"/>
    </i>
    <i>
      <x v="3"/>
    </i>
    <i t="grand">
      <x/>
    </i>
  </rowItems>
  <colFields count="1">
    <field x="-2"/>
  </colFields>
  <colItems count="2">
    <i>
      <x/>
    </i>
    <i i="1">
      <x v="1"/>
    </i>
  </colItems>
  <dataFields count="2">
    <dataField name="Count of SKU" fld="1" subtotal="count" baseField="0" baseItem="0"/>
    <dataField name="Average of Lead times" fld="9" subtotal="average" baseField="8"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0F9392A-E7A1-4F24-8AA6-7AA7C5A983E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H7" firstHeaderRow="0" firstDataRow="1" firstDataCol="1"/>
  <pivotFields count="29">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pivotField numFmtId="164" showAll="0"/>
    <pivotField showAll="0"/>
    <pivotField dataField="1" numFmtId="1" showAll="0"/>
    <pivotField showAll="0"/>
    <pivotField numFmtId="1" showAll="0"/>
    <pivotField showAll="0"/>
    <pivotField numFmtId="1" showAll="0"/>
    <pivotField showAll="0"/>
    <pivotField dataField="1"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0"/>
  </rowFields>
  <rowItems count="4">
    <i>
      <x v="1"/>
    </i>
    <i>
      <x v="2"/>
    </i>
    <i>
      <x/>
    </i>
    <i t="grand">
      <x/>
    </i>
  </rowItems>
  <colFields count="1">
    <field x="-2"/>
  </colFields>
  <colItems count="2">
    <i>
      <x/>
    </i>
    <i i="1">
      <x v="1"/>
    </i>
  </colItems>
  <dataFields count="2">
    <dataField name="Sum of Stock levels" fld="7" baseField="0" baseItem="0" numFmtId="1"/>
    <dataField name="Average of Order quantities" fld="13" subtotal="average" baseField="0"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B81C431-8106-441B-ADB2-A75DE47E341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S8" firstHeaderRow="1" firstDataRow="2" firstDataCol="1"/>
  <pivotFields count="29">
    <pivotField axis="axisCol" showAll="0" sortType="descending">
      <items count="4">
        <item x="2"/>
        <item x="0"/>
        <item x="1"/>
        <item t="default"/>
      </items>
      <autoSortScope>
        <pivotArea dataOnly="0" outline="0" fieldPosition="0">
          <references count="1">
            <reference field="4294967294" count="1" selected="0">
              <x v="0"/>
            </reference>
          </references>
        </pivotArea>
      </autoSortScope>
    </pivotField>
    <pivotField dataField="1"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64" showAll="0"/>
    <pivotField showAll="0"/>
    <pivotField showAll="0"/>
    <pivotField numFmtId="164" showAll="0"/>
    <pivotField showAll="0"/>
    <pivotField numFmtId="1" showAll="0"/>
    <pivotField showAll="0"/>
    <pivotField numFmtId="1" showAll="0"/>
    <pivotField showAll="0"/>
    <pivotField numFmtId="1" showAll="0"/>
    <pivotField axis="axisRow" showAll="0">
      <items count="4">
        <item x="2"/>
        <item x="0"/>
        <item x="1"/>
        <item t="default"/>
      </items>
    </pivotField>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12"/>
  </rowFields>
  <rowItems count="4">
    <i>
      <x/>
    </i>
    <i>
      <x v="1"/>
    </i>
    <i>
      <x v="2"/>
    </i>
    <i t="grand">
      <x/>
    </i>
  </rowItems>
  <colFields count="1">
    <field x="0"/>
  </colFields>
  <colItems count="4">
    <i>
      <x v="2"/>
    </i>
    <i>
      <x v="1"/>
    </i>
    <i>
      <x/>
    </i>
    <i t="grand">
      <x/>
    </i>
  </colItems>
  <dataFields count="1">
    <dataField name="Count of SKU"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5B090DA-18BE-4051-8168-F42B6F7D33D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I9" firstHeaderRow="0" firstDataRow="1" firstDataCol="1"/>
  <pivotFields count="29">
    <pivotField showAll="0"/>
    <pivotField showAll="0"/>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axis="axisRow" showAll="0" sortType="ascending">
      <items count="6">
        <item x="1"/>
        <item x="4"/>
        <item x="0"/>
        <item x="3"/>
        <item x="2"/>
        <item t="default"/>
      </items>
      <autoSortScope>
        <pivotArea dataOnly="0" outline="0" fieldPosition="0">
          <references count="1">
            <reference field="4294967294" count="1" selected="0">
              <x v="1"/>
            </reference>
          </references>
        </pivotArea>
      </autoSortScope>
    </pivotField>
    <pivotField showAll="0"/>
    <pivotField numFmtId="1" showAll="0"/>
    <pivotField numFmtId="1" showAll="0"/>
    <pivotField dataField="1" numFmtId="1" showAll="0"/>
    <pivotField dataField="1" numFmtId="164" showAll="0"/>
    <pivotField showAll="0"/>
    <pivotField showAll="0"/>
    <pivotField showAll="0"/>
    <pivotField showAll="0"/>
    <pivotField showAll="0"/>
    <pivotField numFmtId="164" showAll="0"/>
  </pivotFields>
  <rowFields count="1">
    <field x="17"/>
  </rowFields>
  <rowItems count="6">
    <i>
      <x v="1"/>
    </i>
    <i>
      <x v="2"/>
    </i>
    <i>
      <x v="4"/>
    </i>
    <i>
      <x/>
    </i>
    <i>
      <x v="3"/>
    </i>
    <i t="grand">
      <x/>
    </i>
  </rowItems>
  <colFields count="1">
    <field x="-2"/>
  </colFields>
  <colItems count="2">
    <i>
      <x/>
    </i>
    <i i="1">
      <x v="1"/>
    </i>
  </colItems>
  <dataFields count="2">
    <dataField name="Average of Manufacturing lead time" fld="21" subtotal="average" baseField="14" baseItem="0" numFmtId="1"/>
    <dataField name="Average of Manufacturing costs" fld="22" subtotal="average" baseField="1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912B55A-ED02-46DE-B79B-88FCD8882C7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1:O28" firstHeaderRow="1" firstDataRow="2" firstDataCol="1"/>
  <pivotFields count="29">
    <pivotField showAll="0"/>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axis="axisRow" showAll="0">
      <items count="6">
        <item x="1"/>
        <item x="4"/>
        <item x="0"/>
        <item x="3"/>
        <item x="2"/>
        <item t="default"/>
      </items>
    </pivotField>
    <pivotField axis="axisCol" showAll="0">
      <items count="6">
        <item x="3"/>
        <item x="4"/>
        <item x="2"/>
        <item x="1"/>
        <item x="0"/>
        <item t="default"/>
      </items>
    </pivotField>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17"/>
  </rowFields>
  <rowItems count="6">
    <i>
      <x/>
    </i>
    <i>
      <x v="1"/>
    </i>
    <i>
      <x v="2"/>
    </i>
    <i>
      <x v="3"/>
    </i>
    <i>
      <x v="4"/>
    </i>
    <i t="grand">
      <x/>
    </i>
  </rowItems>
  <colFields count="1">
    <field x="18"/>
  </colFields>
  <colItems count="6">
    <i>
      <x/>
    </i>
    <i>
      <x v="1"/>
    </i>
    <i>
      <x v="2"/>
    </i>
    <i>
      <x v="3"/>
    </i>
    <i>
      <x v="4"/>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EFF86F9-481D-416F-9DAF-2C80A9465682}"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1:G28" firstHeaderRow="1" firstDataRow="2" firstDataCol="1"/>
  <pivotFields count="29">
    <pivotField showAll="0"/>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axis="axisRow" showAll="0" sortType="ascending">
      <items count="6">
        <item x="1"/>
        <item x="4"/>
        <item x="0"/>
        <item x="3"/>
        <item x="2"/>
        <item t="default"/>
      </items>
      <autoSortScope>
        <pivotArea dataOnly="0" outline="0" fieldPosition="0">
          <references count="1">
            <reference field="4294967294" count="1" selected="0">
              <x v="0"/>
            </reference>
          </references>
        </pivotArea>
      </autoSortScope>
    </pivotField>
    <pivotField axis="axisCol" showAll="0" sortType="ascending">
      <items count="6">
        <item x="3"/>
        <item x="4"/>
        <item x="2"/>
        <item x="1"/>
        <item x="0"/>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dataField="1" numFmtId="164" showAll="0"/>
    <pivotField showAll="0"/>
    <pivotField showAll="0"/>
    <pivotField showAll="0"/>
    <pivotField showAll="0"/>
    <pivotField showAll="0"/>
    <pivotField numFmtId="164" showAll="0"/>
  </pivotFields>
  <rowFields count="1">
    <field x="17"/>
  </rowFields>
  <rowItems count="6">
    <i>
      <x v="2"/>
    </i>
    <i>
      <x v="4"/>
    </i>
    <i>
      <x v="1"/>
    </i>
    <i>
      <x v="3"/>
    </i>
    <i>
      <x/>
    </i>
    <i t="grand">
      <x/>
    </i>
  </rowItems>
  <colFields count="1">
    <field x="18"/>
  </colFields>
  <colItems count="6">
    <i>
      <x v="2"/>
    </i>
    <i>
      <x v="4"/>
    </i>
    <i>
      <x v="1"/>
    </i>
    <i>
      <x v="3"/>
    </i>
    <i>
      <x/>
    </i>
    <i t="grand">
      <x/>
    </i>
  </colItems>
  <dataFields count="1">
    <dataField name="Sum of Manufacturing costs" fld="2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FFBE489-73F5-4FA8-9408-7423E9C2F6B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9">
    <pivotField showAll="0"/>
    <pivotField showAll="0"/>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axis="axisRow" showAll="0" sortType="a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pivotField dataField="1"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17"/>
  </rowFields>
  <rowItems count="6">
    <i>
      <x/>
    </i>
    <i>
      <x v="3"/>
    </i>
    <i>
      <x v="4"/>
    </i>
    <i>
      <x v="1"/>
    </i>
    <i>
      <x v="2"/>
    </i>
    <i t="grand">
      <x/>
    </i>
  </rowItems>
  <colItems count="1">
    <i/>
  </colItems>
  <dataFields count="1">
    <dataField name="Average of Lead time" fld="19" subtotal="average" baseField="14"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A9BD67F-DD64-459D-AECB-332D79E37668}"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C18" firstHeaderRow="0" firstDataRow="1" firstDataCol="1"/>
  <pivotFields count="29">
    <pivotField showAll="0"/>
    <pivotField dataField="1"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axis="axisRow" showAll="0" sortType="de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pivotField numFmtId="1" showAll="0"/>
    <pivotField numFmtId="1" showAll="0"/>
    <pivotField numFmtId="1" showAll="0"/>
    <pivotField dataField="1" numFmtId="164" showAll="0"/>
    <pivotField showAll="0"/>
    <pivotField showAll="0"/>
    <pivotField showAll="0"/>
    <pivotField showAll="0"/>
    <pivotField showAll="0"/>
    <pivotField numFmtId="164" showAll="0"/>
  </pivotFields>
  <rowFields count="1">
    <field x="17"/>
  </rowFields>
  <rowItems count="6">
    <i>
      <x/>
    </i>
    <i>
      <x v="3"/>
    </i>
    <i>
      <x v="1"/>
    </i>
    <i>
      <x v="4"/>
    </i>
    <i>
      <x v="2"/>
    </i>
    <i t="grand">
      <x/>
    </i>
  </rowItems>
  <colFields count="1">
    <field x="-2"/>
  </colFields>
  <colItems count="2">
    <i>
      <x/>
    </i>
    <i i="1">
      <x v="1"/>
    </i>
  </colItems>
  <dataFields count="2">
    <dataField name="Sum of Manufacturing costs" fld="22" baseField="17" baseItem="0" numFmtId="164"/>
    <dataField name="Count of SKU"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6D75475-EB52-490F-A464-538B4ADEEAB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K18" firstHeaderRow="0" firstDataRow="1" firstDataCol="1"/>
  <pivotFields count="29">
    <pivotField showAll="0"/>
    <pivotField showAll="0"/>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axis="axisRow" showAll="0" sortType="ascending">
      <items count="6">
        <item x="1"/>
        <item x="4"/>
        <item x="0"/>
        <item x="3"/>
        <item x="2"/>
        <item t="default"/>
      </items>
      <autoSortScope>
        <pivotArea dataOnly="0" outline="0" fieldPosition="0">
          <references count="1">
            <reference field="4294967294" count="1" selected="0">
              <x v="3"/>
            </reference>
          </references>
        </pivotArea>
      </autoSortScope>
    </pivotField>
    <pivotField showAll="0"/>
    <pivotField numFmtId="1" showAll="0"/>
    <pivotField dataField="1" numFmtId="1" showAll="0"/>
    <pivotField dataField="1" numFmtId="1" showAll="0"/>
    <pivotField dataField="1" numFmtId="164" showAll="0"/>
    <pivotField showAll="0"/>
    <pivotField dataField="1" showAll="0"/>
    <pivotField showAll="0"/>
    <pivotField showAll="0"/>
    <pivotField showAll="0"/>
    <pivotField numFmtId="164" showAll="0"/>
  </pivotFields>
  <rowFields count="1">
    <field x="17"/>
  </rowFields>
  <rowItems count="6">
    <i>
      <x v="1"/>
    </i>
    <i>
      <x v="2"/>
    </i>
    <i>
      <x v="4"/>
    </i>
    <i>
      <x/>
    </i>
    <i>
      <x v="3"/>
    </i>
    <i t="grand">
      <x/>
    </i>
  </rowItems>
  <colFields count="1">
    <field x="-2"/>
  </colFields>
  <colItems count="4">
    <i>
      <x/>
    </i>
    <i i="1">
      <x v="1"/>
    </i>
    <i i="2">
      <x v="2"/>
    </i>
    <i i="3">
      <x v="3"/>
    </i>
  </colItems>
  <dataFields count="4">
    <dataField name="Average of Manufacturing lead time" fld="21" subtotal="average" baseField="14" baseItem="1" numFmtId="1"/>
    <dataField name="Average of Production volumes" fld="20" subtotal="average" baseField="14" baseItem="0" numFmtId="1"/>
    <dataField name="Average of Defect rates" fld="24" subtotal="average" baseField="14" baseItem="4"/>
    <dataField name="Average of Manufacturing costs" fld="22" subtotal="average" baseField="14" baseItem="0" numFmtId="164"/>
  </dataFields>
  <conditionalFormats count="5">
    <conditionalFormat priority="5">
      <pivotAreas count="1">
        <pivotArea type="data" collapsedLevelsAreSubtotals="1" fieldPosition="0">
          <references count="2">
            <reference field="4294967294" count="1" selected="0">
              <x v="0"/>
            </reference>
            <reference field="17" count="5">
              <x v="0"/>
              <x v="1"/>
              <x v="2"/>
              <x v="3"/>
              <x v="4"/>
            </reference>
          </references>
        </pivotArea>
      </pivotAreas>
    </conditionalFormat>
    <conditionalFormat priority="4">
      <pivotAreas count="1">
        <pivotArea type="data" collapsedLevelsAreSubtotals="1" fieldPosition="0">
          <references count="2">
            <reference field="4294967294" count="1" selected="0">
              <x v="1"/>
            </reference>
            <reference field="17" count="1">
              <x v="0"/>
            </reference>
          </references>
        </pivotArea>
      </pivotAreas>
    </conditionalFormat>
    <conditionalFormat priority="3">
      <pivotAreas count="1">
        <pivotArea type="data" collapsedLevelsAreSubtotals="1" fieldPosition="0">
          <references count="2">
            <reference field="4294967294" count="1" selected="0">
              <x v="2"/>
            </reference>
            <reference field="17" count="5">
              <x v="0"/>
              <x v="1"/>
              <x v="2"/>
              <x v="3"/>
              <x v="4"/>
            </reference>
          </references>
        </pivotArea>
      </pivotAreas>
    </conditionalFormat>
    <conditionalFormat priority="2">
      <pivotAreas count="1">
        <pivotArea type="data" collapsedLevelsAreSubtotals="1" fieldPosition="0">
          <references count="2">
            <reference field="4294967294" count="1" selected="0">
              <x v="1"/>
            </reference>
            <reference field="17" count="5">
              <x v="0"/>
              <x v="1"/>
              <x v="2"/>
              <x v="3"/>
              <x v="4"/>
            </reference>
          </references>
        </pivotArea>
      </pivotAreas>
    </conditionalFormat>
    <conditionalFormat priority="1">
      <pivotAreas count="1">
        <pivotArea type="data" collapsedLevelsAreSubtotals="1" fieldPosition="0">
          <references count="2">
            <reference field="4294967294" count="1" selected="0">
              <x v="3"/>
            </reference>
            <reference field="17"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E57C25B-2DC1-420D-A51E-0CC5A371962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F16" firstHeaderRow="1" firstDataRow="1" firstDataCol="1"/>
  <pivotFields count="29">
    <pivotField showAll="0"/>
    <pivotField showAll="0"/>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pivotField showAll="0"/>
    <pivotField showAll="0"/>
    <pivotField axis="axisRow" showAll="0" sortType="a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dataField="1" numFmtId="164" showAll="0"/>
  </pivotFields>
  <rowFields count="1">
    <field x="26"/>
  </rowFields>
  <rowItems count="5">
    <i>
      <x v="3"/>
    </i>
    <i>
      <x v="1"/>
    </i>
    <i>
      <x v="2"/>
    </i>
    <i>
      <x/>
    </i>
    <i t="grand">
      <x/>
    </i>
  </rowItems>
  <colItems count="1">
    <i/>
  </colItems>
  <dataFields count="1">
    <dataField name="Average of Costs" fld="28" subtotal="average" baseField="2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67474BA-5F9B-40B0-BBD2-C6B33314081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6" firstHeaderRow="1" firstDataRow="1" firstDataCol="1"/>
  <pivotFields count="29">
    <pivotField showAll="0"/>
    <pivotField showAll="0"/>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pivotField showAll="0"/>
    <pivotField showAll="0"/>
    <pivotField axis="axisRow" showAll="0" sortType="a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dataField="1" numFmtId="164" showAll="0"/>
  </pivotFields>
  <rowFields count="1">
    <field x="26"/>
  </rowFields>
  <rowItems count="5">
    <i>
      <x v="3"/>
    </i>
    <i>
      <x v="1"/>
    </i>
    <i>
      <x v="2"/>
    </i>
    <i>
      <x/>
    </i>
    <i t="grand">
      <x/>
    </i>
  </rowItems>
  <colItems count="1">
    <i/>
  </colItems>
  <dataFields count="1">
    <dataField name="Average of Costs" fld="28" subtotal="average" baseField="2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36D0CC9-F343-4388-B68E-86B53CA34D5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7" firstHeaderRow="1" firstDataRow="1" firstDataCol="1"/>
  <pivotFields count="29">
    <pivotField showAll="0"/>
    <pivotField showAll="0"/>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axis="axisRow" showAll="0">
      <items count="4">
        <item x="2"/>
        <item x="0"/>
        <item x="1"/>
        <item t="default"/>
      </items>
    </pivotField>
    <pivotField dataField="1" numFmtId="164" showAll="0"/>
  </pivotFields>
  <rowFields count="1">
    <field x="27"/>
  </rowFields>
  <rowItems count="4">
    <i>
      <x/>
    </i>
    <i>
      <x v="1"/>
    </i>
    <i>
      <x v="2"/>
    </i>
    <i t="grand">
      <x/>
    </i>
  </rowItems>
  <colItems count="1">
    <i/>
  </colItems>
  <dataFields count="1">
    <dataField name="Average of Costs" fld="28" subtotal="average" baseField="2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7D7E859C-1476-4527-AEDC-893E1EECC3DB}"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3:I9" firstHeaderRow="1" firstDataRow="2" firstDataCol="1"/>
  <pivotFields count="29">
    <pivotField showAll="0"/>
    <pivotField dataField="1" showAll="0"/>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axis="axisCol" showAll="0" sortType="descending">
      <items count="4">
        <item x="2"/>
        <item x="0"/>
        <item x="1"/>
        <item t="default"/>
      </items>
      <autoSortScope>
        <pivotArea dataOnly="0" outline="0" fieldPosition="0">
          <references count="1">
            <reference field="4294967294" count="1" selected="0">
              <x v="0"/>
            </reference>
          </references>
        </pivotArea>
      </autoSortScope>
    </pivotField>
    <pivotField numFmtId="164" showAll="0"/>
  </pivotFields>
  <rowFields count="1">
    <field x="26"/>
  </rowFields>
  <rowItems count="5">
    <i>
      <x v="2"/>
    </i>
    <i>
      <x v="1"/>
    </i>
    <i>
      <x/>
    </i>
    <i>
      <x v="3"/>
    </i>
    <i t="grand">
      <x/>
    </i>
  </rowItems>
  <colFields count="1">
    <field x="27"/>
  </colFields>
  <colItems count="4">
    <i>
      <x/>
    </i>
    <i>
      <x v="1"/>
    </i>
    <i>
      <x v="2"/>
    </i>
    <i t="grand">
      <x/>
    </i>
  </colItems>
  <dataFields count="1">
    <dataField name="Count of SKU"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F89F1171-867B-479B-B648-A22494CB7C3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9">
    <pivotField showAll="0"/>
    <pivotField showAll="0"/>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pivotField showAll="0"/>
    <pivotField showAll="0"/>
    <pivotField axis="axisRow" showAll="0" sortType="a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dataField="1" numFmtId="164" showAll="0"/>
  </pivotFields>
  <rowFields count="1">
    <field x="26"/>
  </rowFields>
  <rowItems count="5">
    <i>
      <x v="3"/>
    </i>
    <i>
      <x v="1"/>
    </i>
    <i>
      <x v="2"/>
    </i>
    <i>
      <x/>
    </i>
    <i t="grand">
      <x/>
    </i>
  </rowItems>
  <colItems count="1">
    <i/>
  </colItems>
  <dataFields count="1">
    <dataField name="Average of Costs" fld="28" subtotal="average" baseField="2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6853E5D-6D79-4E79-AD7E-EC3A4AAD480B}"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0:K14" firstHeaderRow="1" firstDataRow="1" firstDataCol="1"/>
  <pivotFields count="29">
    <pivotField showAll="0"/>
    <pivotField dataField="1"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axis="axisRow" showAll="0">
      <items count="4">
        <item x="1"/>
        <item x="2"/>
        <item x="0"/>
        <item t="default"/>
      </items>
    </pivotField>
    <pivotField showAll="0"/>
    <pivotField showAll="0"/>
    <pivotField showAll="0"/>
    <pivotField showAll="0"/>
    <pivotField numFmtId="164" showAll="0"/>
  </pivotFields>
  <rowFields count="1">
    <field x="23"/>
  </rowFields>
  <rowItems count="4">
    <i>
      <x/>
    </i>
    <i>
      <x v="1"/>
    </i>
    <i>
      <x v="2"/>
    </i>
    <i t="grand">
      <x/>
    </i>
  </rowItems>
  <colItems count="1">
    <i/>
  </colItems>
  <dataFields count="1">
    <dataField name="Count of SKU"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8C0D4675-6CF1-45DB-AEAB-6B15082A2A13}" name="PivotTable2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3:N8" firstHeaderRow="1" firstDataRow="2" firstDataCol="1"/>
  <pivotFields count="29">
    <pivotField axis="axisCol" showAll="0">
      <items count="4">
        <item x="2"/>
        <item x="0"/>
        <item x="1"/>
        <item t="default"/>
      </items>
    </pivotField>
    <pivotField dataField="1"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axis="axisRow" showAll="0">
      <items count="4">
        <item x="1"/>
        <item x="2"/>
        <item x="0"/>
        <item t="default"/>
      </items>
    </pivotField>
    <pivotField showAll="0"/>
    <pivotField showAll="0"/>
    <pivotField showAll="0"/>
    <pivotField showAll="0"/>
    <pivotField numFmtId="164" showAll="0"/>
  </pivotFields>
  <rowFields count="1">
    <field x="23"/>
  </rowFields>
  <rowItems count="4">
    <i>
      <x/>
    </i>
    <i>
      <x v="1"/>
    </i>
    <i>
      <x v="2"/>
    </i>
    <i t="grand">
      <x/>
    </i>
  </rowItems>
  <colFields count="1">
    <field x="0"/>
  </colFields>
  <colItems count="4">
    <i>
      <x/>
    </i>
    <i>
      <x v="1"/>
    </i>
    <i>
      <x v="2"/>
    </i>
    <i t="grand">
      <x/>
    </i>
  </colItems>
  <dataFields count="1">
    <dataField name="Count of SKU"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AB93DAD9-2CA5-4DB4-9B72-979023737D2C}"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4" firstHeaderRow="1" firstDataRow="1" firstDataCol="1"/>
  <pivotFields count="29">
    <pivotField axis="axisRow" showAll="0">
      <items count="4">
        <item x="2"/>
        <item x="0"/>
        <item x="1"/>
        <item t="default"/>
      </items>
    </pivotField>
    <pivotField showAll="0" sortType="descending">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showAll="0">
      <items count="4">
        <item x="1"/>
        <item x="2"/>
        <item x="0"/>
        <item t="default"/>
      </items>
    </pivotField>
    <pivotField dataField="1" showAll="0"/>
    <pivotField showAll="0"/>
    <pivotField showAll="0"/>
    <pivotField showAll="0"/>
    <pivotField numFmtId="164" showAll="0"/>
  </pivotFields>
  <rowFields count="1">
    <field x="0"/>
  </rowFields>
  <rowItems count="4">
    <i>
      <x/>
    </i>
    <i>
      <x v="1"/>
    </i>
    <i>
      <x v="2"/>
    </i>
    <i t="grand">
      <x/>
    </i>
  </rowItems>
  <colItems count="1">
    <i/>
  </colItems>
  <dataFields count="1">
    <dataField name="Average of Defect rates" fld="2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167A53E2-FE7A-486F-9728-16ED60E6FF37}"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4:F18" firstHeaderRow="1" firstDataRow="1" firstDataCol="1"/>
  <pivotFields count="29">
    <pivotField showAll="0"/>
    <pivotField dataField="1"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axis="axisRow" showAll="0">
      <items count="4">
        <item x="1"/>
        <item x="2"/>
        <item x="0"/>
        <item t="default"/>
      </items>
    </pivotField>
    <pivotField showAll="0"/>
    <pivotField showAll="0"/>
    <pivotField showAll="0"/>
    <pivotField showAll="0"/>
    <pivotField numFmtId="164" showAll="0"/>
  </pivotFields>
  <rowFields count="1">
    <field x="23"/>
  </rowFields>
  <rowItems count="4">
    <i>
      <x/>
    </i>
    <i>
      <x v="1"/>
    </i>
    <i>
      <x v="2"/>
    </i>
    <i t="grand">
      <x/>
    </i>
  </rowItems>
  <colItems count="1">
    <i/>
  </colItems>
  <dataFields count="1">
    <dataField name="Count of SKU"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FDC9A4BD-574E-4997-A33F-CAB94039192C}"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3:G9" firstHeaderRow="0" firstDataRow="1" firstDataCol="1"/>
  <pivotFields count="29">
    <pivotField showAll="0"/>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axis="axisRow" showAll="0" sortType="a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pivotField numFmtId="1" showAll="0"/>
    <pivotField numFmtId="1" showAll="0"/>
    <pivotField numFmtId="1" showAll="0"/>
    <pivotField dataField="1" numFmtId="164" showAll="0"/>
    <pivotField showAll="0">
      <items count="4">
        <item x="1"/>
        <item x="2"/>
        <item x="0"/>
        <item t="default"/>
      </items>
    </pivotField>
    <pivotField dataField="1" showAll="0"/>
    <pivotField showAll="0"/>
    <pivotField showAll="0"/>
    <pivotField showAll="0"/>
    <pivotField numFmtId="164" showAll="0"/>
  </pivotFields>
  <rowFields count="1">
    <field x="17"/>
  </rowFields>
  <rowItems count="6">
    <i>
      <x/>
    </i>
    <i>
      <x v="3"/>
    </i>
    <i>
      <x v="1"/>
    </i>
    <i>
      <x v="2"/>
    </i>
    <i>
      <x v="4"/>
    </i>
    <i t="grand">
      <x/>
    </i>
  </rowItems>
  <colFields count="1">
    <field x="-2"/>
  </colFields>
  <colItems count="2">
    <i>
      <x/>
    </i>
    <i i="1">
      <x v="1"/>
    </i>
  </colItems>
  <dataFields count="2">
    <dataField name="Average of Defect rates" fld="24" subtotal="average" baseField="17" baseItem="2"/>
    <dataField name="Average of Manufacturing costs" fld="22" subtotal="average" baseField="17"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B436B3C8-CD29-4589-B50C-693E14B42E3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9">
    <pivotField showAll="0"/>
    <pivotField dataField="1"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showAll="0"/>
    <pivotField numFmtId="164" showAll="0"/>
    <pivotField showAll="0"/>
    <pivotField showAll="0"/>
    <pivotField numFmtId="1" showAll="0"/>
    <pivotField numFmtId="1" showAll="0"/>
    <pivotField numFmtId="1" showAll="0"/>
    <pivotField numFmtId="164" showAll="0"/>
    <pivotField axis="axisRow" showAll="0">
      <items count="4">
        <item x="1"/>
        <item x="2"/>
        <item x="0"/>
        <item t="default"/>
      </items>
    </pivotField>
    <pivotField showAll="0"/>
    <pivotField showAll="0"/>
    <pivotField showAll="0"/>
    <pivotField showAll="0"/>
    <pivotField numFmtId="164" showAll="0"/>
  </pivotFields>
  <rowFields count="1">
    <field x="23"/>
  </rowFields>
  <rowItems count="4">
    <i>
      <x/>
    </i>
    <i>
      <x v="1"/>
    </i>
    <i>
      <x v="2"/>
    </i>
    <i t="grand">
      <x/>
    </i>
  </rowItems>
  <colItems count="1">
    <i/>
  </colItems>
  <dataFields count="1">
    <dataField name="Count of SKU"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F004A48D-8D4A-488D-9DDE-E7C6777AD292}"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2:K16" firstHeaderRow="1" firstDataRow="1" firstDataCol="1"/>
  <pivotFields count="29">
    <pivotField showAll="0">
      <items count="4">
        <item x="2"/>
        <item x="0"/>
        <item x="1"/>
        <item t="default"/>
      </items>
    </pivotField>
    <pivotField showAll="0"/>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axis="axisRow" showAll="0">
      <items count="4">
        <item x="1"/>
        <item x="0"/>
        <item x="2"/>
        <item t="default"/>
      </items>
    </pivotField>
    <pivotField dataField="1"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15"/>
  </rowFields>
  <rowItems count="4">
    <i>
      <x/>
    </i>
    <i>
      <x v="1"/>
    </i>
    <i>
      <x v="2"/>
    </i>
    <i t="grand">
      <x/>
    </i>
  </rowItems>
  <colItems count="1">
    <i/>
  </colItems>
  <dataFields count="1">
    <dataField name="Average of Shipping costs" fld="16" subtotal="average" baseField="1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01E2DC7B-FEA2-4931-83B3-6F003DEEE7A0}"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7" firstHeaderRow="1" firstDataRow="1" firstDataCol="1"/>
  <pivotFields count="29">
    <pivotField showAll="0">
      <items count="4">
        <item x="2"/>
        <item x="0"/>
        <item x="1"/>
        <item t="default"/>
      </items>
    </pivotField>
    <pivotField showAll="0"/>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axis="axisRow" showAll="0">
      <items count="4">
        <item x="1"/>
        <item x="0"/>
        <item x="2"/>
        <item t="default"/>
      </items>
    </pivotField>
    <pivotField dataField="1"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15"/>
  </rowFields>
  <rowItems count="4">
    <i>
      <x/>
    </i>
    <i>
      <x v="1"/>
    </i>
    <i>
      <x v="2"/>
    </i>
    <i t="grand">
      <x/>
    </i>
  </rowItems>
  <colItems count="1">
    <i/>
  </colItems>
  <dataFields count="1">
    <dataField name="Average of Shipping costs" fld="16" subtotal="average" baseField="1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2127CB44-96D8-4927-A157-F267D78BE045}"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7" firstHeaderRow="1" firstDataRow="1" firstDataCol="1"/>
  <pivotFields count="29">
    <pivotField showAll="0">
      <items count="4">
        <item x="2"/>
        <item x="0"/>
        <item x="1"/>
        <item t="default"/>
      </items>
    </pivotField>
    <pivotField showAll="0"/>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axis="axisRow" showAll="0">
      <items count="4">
        <item x="1"/>
        <item x="0"/>
        <item x="2"/>
        <item t="default"/>
      </items>
    </pivotField>
    <pivotField dataField="1"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15"/>
  </rowFields>
  <rowItems count="4">
    <i>
      <x/>
    </i>
    <i>
      <x v="1"/>
    </i>
    <i>
      <x v="2"/>
    </i>
    <i t="grand">
      <x/>
    </i>
  </rowItems>
  <colItems count="1">
    <i/>
  </colItems>
  <dataFields count="1">
    <dataField name="Sum of Shipping costs" fld="16" baseField="15" baseItem="2"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C3276E1A-1407-4ACA-A2FC-A38CE1370BF8}"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29">
    <pivotField showAll="0">
      <items count="4">
        <item x="2"/>
        <item x="0"/>
        <item x="1"/>
        <item t="default"/>
      </items>
    </pivotField>
    <pivotField showAll="0"/>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numFmtId="1" showAll="0"/>
    <pivotField dataField="1" numFmtId="1" showAll="0"/>
    <pivotField axis="axisRow" showAll="0" sortType="ascending">
      <items count="4">
        <item x="1"/>
        <item x="0"/>
        <item x="2"/>
        <item t="default"/>
      </items>
      <autoSortScope>
        <pivotArea dataOnly="0" outline="0" fieldPosition="0">
          <references count="1">
            <reference field="4294967294" count="1" selected="0">
              <x v="1"/>
            </reference>
          </references>
        </pivotArea>
      </autoSortScope>
    </pivotField>
    <pivotField dataField="1"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15"/>
  </rowFields>
  <rowItems count="4">
    <i>
      <x v="1"/>
    </i>
    <i>
      <x v="2"/>
    </i>
    <i>
      <x/>
    </i>
    <i t="grand">
      <x/>
    </i>
  </rowItems>
  <colFields count="1">
    <field x="-2"/>
  </colFields>
  <colItems count="2">
    <i>
      <x/>
    </i>
    <i i="1">
      <x v="1"/>
    </i>
  </colItems>
  <dataFields count="2">
    <dataField name="Average of Shipping costs" fld="16" subtotal="average" baseField="15" baseItem="0" numFmtId="164"/>
    <dataField name="Average of Shipping times" fld="14" subtotal="average" baseField="15"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57BF811F-E66E-4B57-B08F-86F1980E7CDF}"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C16" firstHeaderRow="0" firstDataRow="1" firstDataCol="1"/>
  <pivotFields count="29">
    <pivotField axis="axisRow" showAll="0">
      <items count="4">
        <item x="2"/>
        <item x="0"/>
        <item x="1"/>
        <item t="default"/>
      </items>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64" showAll="0"/>
    <pivotField showAll="0"/>
    <pivotField showAll="0"/>
    <pivotField numFmtId="164" showAll="0"/>
    <pivotField showAll="0"/>
    <pivotField numFmtId="1" showAll="0"/>
    <pivotField showAll="0"/>
    <pivotField numFmtId="1" showAll="0"/>
    <pivotField showAll="0"/>
    <pivotField numFmtId="1" showAll="0"/>
    <pivotField showAll="0"/>
    <pivotField dataField="1" numFmtId="1" showAll="0"/>
    <pivotField dataField="1" numFmtId="1" showAll="0"/>
    <pivotField showAll="0">
      <items count="4">
        <item x="1"/>
        <item x="0"/>
        <item x="2"/>
        <item t="default"/>
      </items>
    </pivotField>
    <pivotField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0"/>
  </rowFields>
  <rowItems count="4">
    <i>
      <x/>
    </i>
    <i>
      <x v="1"/>
    </i>
    <i>
      <x v="2"/>
    </i>
    <i t="grand">
      <x/>
    </i>
  </rowItems>
  <colFields count="1">
    <field x="-2"/>
  </colFields>
  <colItems count="2">
    <i>
      <x/>
    </i>
    <i i="1">
      <x v="1"/>
    </i>
  </colItems>
  <dataFields count="2">
    <dataField name="Average of Order quantities" fld="13" subtotal="average" baseField="1" baseItem="0" numFmtId="1"/>
    <dataField name="Average of Shipping times" fld="14" subtotal="average" baseField="1"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AB505B09-B9D8-4A1F-A71A-DE82BE4E4353}"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G16" firstHeaderRow="0" firstDataRow="1" firstDataCol="1"/>
  <pivotFields count="29">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dataField="1" showAll="0"/>
    <pivotField numFmtId="164" showAll="0"/>
    <pivotField showAll="0"/>
    <pivotField numFmtId="1" showAll="0"/>
    <pivotField showAll="0"/>
    <pivotField numFmtId="1" showAll="0"/>
    <pivotField showAll="0"/>
    <pivotField numFmtId="1" showAll="0"/>
    <pivotField showAll="0"/>
    <pivotField numFmtId="1" showAll="0"/>
    <pivotField numFmtId="1" showAll="0"/>
    <pivotField showAll="0">
      <items count="4">
        <item x="1"/>
        <item x="0"/>
        <item x="2"/>
        <item t="default"/>
      </items>
    </pivotField>
    <pivotField dataField="1" numFmtId="164" showAll="0"/>
    <pivotField showAll="0"/>
    <pivotField showAll="0"/>
    <pivotField numFmtId="1" showAll="0"/>
    <pivotField numFmtId="1" showAll="0"/>
    <pivotField numFmtId="1" showAll="0"/>
    <pivotField numFmtId="164" showAll="0"/>
    <pivotField showAll="0"/>
    <pivotField showAll="0"/>
    <pivotField showAll="0"/>
    <pivotField showAll="0"/>
    <pivotField showAll="0"/>
    <pivotField numFmtId="164" showAll="0"/>
  </pivotFields>
  <rowFields count="1">
    <field x="0"/>
  </rowFields>
  <rowItems count="4">
    <i>
      <x v="1"/>
    </i>
    <i>
      <x v="2"/>
    </i>
    <i>
      <x/>
    </i>
    <i t="grand">
      <x/>
    </i>
  </rowItems>
  <colFields count="1">
    <field x="-2"/>
  </colFields>
  <colItems count="2">
    <i>
      <x/>
    </i>
    <i i="1">
      <x v="1"/>
    </i>
  </colItems>
  <dataFields count="2">
    <dataField name="Sum of Shipping costs" fld="16" baseField="0" baseItem="0" numFmtId="164"/>
    <dataField name="Sum of Number of produc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937CE5-E9C5-4632-8172-DB49BA763DBB}" autoFormatId="16" applyNumberFormats="0" applyBorderFormats="0" applyFontFormats="0" applyPatternFormats="0" applyAlignmentFormats="0" applyWidthHeightFormats="0">
  <queryTableRefresh nextId="30">
    <queryTableFields count="29">
      <queryTableField id="1" name="Product type" tableColumnId="1"/>
      <queryTableField id="2" name="SKU" tableColumnId="2"/>
      <queryTableField id="3" name="Price" tableColumnId="3"/>
      <queryTableField id="4" name="Availability" tableColumnId="4"/>
      <queryTableField id="5" name="Number of products sold" tableColumnId="5"/>
      <queryTableField id="6" name="Revenue generated" tableColumnId="6"/>
      <queryTableField id="7" name="Customer demographics" tableColumnId="7"/>
      <queryTableField id="8" name="Stock levels" tableColumnId="8"/>
      <queryTableField id="26" dataBound="0" tableColumnId="26"/>
      <queryTableField id="9" name="Lead times" tableColumnId="9"/>
      <queryTableField id="27" dataBound="0" tableColumnId="27"/>
      <queryTableField id="28" dataBound="0" tableColumnId="28"/>
      <queryTableField id="29" dataBound="0" tableColumnId="29"/>
      <queryTableField id="10" name="Order quantities" tableColumnId="10"/>
      <queryTableField id="11" name="Shipping times" tableColumnId="11"/>
      <queryTableField id="12" name="Shipping carriers" tableColumnId="12"/>
      <queryTableField id="13" name="Shipping costs" tableColumnId="13"/>
      <queryTableField id="14" name="Supplier name" tableColumnId="14"/>
      <queryTableField id="15" name="Location" tableColumnId="15"/>
      <queryTableField id="16" name="Lead time" tableColumnId="16"/>
      <queryTableField id="17" name="Production volumes" tableColumnId="17"/>
      <queryTableField id="18" name="Manufacturing lead time" tableColumnId="18"/>
      <queryTableField id="19" name="Manufacturing costs" tableColumnId="19"/>
      <queryTableField id="20" name="Inspection results" tableColumnId="20"/>
      <queryTableField id="21" name="Defect rates" tableColumnId="21"/>
      <queryTableField id="22" name="Defect Rates%" tableColumnId="22"/>
      <queryTableField id="23" name="Transportation modes" tableColumnId="23"/>
      <queryTableField id="24" name="Routes" tableColumnId="24"/>
      <queryTableField id="25" name="Costs"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76B05E0D-9221-46B8-A72E-7508881C4170}" sourceName="Product type">
  <pivotTables>
    <pivotTable tabId="4" name="PivotTable7"/>
  </pivotTables>
  <data>
    <tabular pivotCacheId="120477259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Level_Category" xr10:uid="{20C3114B-2589-4E04-94F4-AF9259DD2476}" sourceName="Stock Level Category">
  <pivotTables>
    <pivotTable tabId="5" name="PivotTable16"/>
  </pivotTables>
  <data>
    <tabular pivotCacheId="1204772594">
      <items count="4">
        <i x="1" s="1"/>
        <i x="2" s="1"/>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D26C0378-46C6-4A4B-B8A8-92067F017A14}" cache="Slicer_Product_type" caption="Product typ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 Level Category" xr10:uid="{FD166DF7-E407-4D8E-9DE8-7E666537CD5C}" cache="Slicer_Stock_Level_Category" caption="Stock Level Category"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0B6B33-CAB5-4AC0-A659-B760FB307BE5}" name="Table2" displayName="Table2" ref="A1:X101" totalsRowShown="0">
  <autoFilter ref="A1:X101" xr:uid="{8D0B6B33-CAB5-4AC0-A659-B760FB307BE5}"/>
  <tableColumns count="24">
    <tableColumn id="1" xr3:uid="{C33C4767-145F-4D25-95FA-19EED1F53B4B}" name="Product type"/>
    <tableColumn id="2" xr3:uid="{2533FB18-54E4-43CE-9A5E-D4010CD53D3C}" name="SKU"/>
    <tableColumn id="3" xr3:uid="{8789511C-6D32-42DA-B949-2AD4B17DC4F7}" name="Price"/>
    <tableColumn id="4" xr3:uid="{5AA88B67-3B39-418F-AA45-C7E6AF9E9E4F}" name="Availability"/>
    <tableColumn id="5" xr3:uid="{60498544-865C-4EDC-BBAB-ACCBB4DD424B}" name="Number of products sold"/>
    <tableColumn id="6" xr3:uid="{A3BB78AB-9114-47BD-8260-CA17F3F8F34F}" name="Revenue generated"/>
    <tableColumn id="7" xr3:uid="{6DC15D6E-4373-4DC8-B79C-DA3526F79A88}" name="Customer demographics"/>
    <tableColumn id="8" xr3:uid="{D9D1EB9E-A395-4D38-BA30-76A99060A32F}" name="Stock levels"/>
    <tableColumn id="9" xr3:uid="{ABCBE0DD-69C6-44B0-B6C4-E3C0640F97E2}" name="Lead times"/>
    <tableColumn id="10" xr3:uid="{739054EC-D795-4216-B308-E5B6AF114743}" name="Order quantities"/>
    <tableColumn id="11" xr3:uid="{9B58B7A6-1B77-4DB7-8FD3-D3A1ABACE072}" name="Shipping times"/>
    <tableColumn id="12" xr3:uid="{CEE1EADC-60D3-471B-800C-5438786ECD94}" name="Shipping carriers"/>
    <tableColumn id="13" xr3:uid="{4DBB1A92-E6FC-47AB-AEC0-8F7386E4A2CB}" name="Shipping costs"/>
    <tableColumn id="14" xr3:uid="{4C83E894-ED0F-485B-A6F0-4A9868023157}" name="Supplier name"/>
    <tableColumn id="15" xr3:uid="{F2610F4A-A040-466B-8666-CCD5A5D4D6C4}" name="Location"/>
    <tableColumn id="16" xr3:uid="{D29C539A-22D6-43EB-83BC-0CFA5A22C286}" name="Lead time"/>
    <tableColumn id="17" xr3:uid="{A8A3F8CD-ACB6-4202-B7BD-C49918EF441F}" name="Production volumes"/>
    <tableColumn id="18" xr3:uid="{8676913C-0B4D-4057-9AD6-E41430F6622F}" name="Manufacturing lead time"/>
    <tableColumn id="19" xr3:uid="{D649613D-62EB-4BAF-BA16-C3528D0C7861}" name="Manufacturing costs"/>
    <tableColumn id="20" xr3:uid="{65F0E1E7-AD8F-436D-B610-516ECFB1551B}" name="Inspection results"/>
    <tableColumn id="21" xr3:uid="{58F2F0B3-77DF-45D8-858F-A6A362BD2163}" name="Defect rates"/>
    <tableColumn id="22" xr3:uid="{78CEB6EE-22F8-473E-80A6-F51D546FDEA4}" name="Transportation modes"/>
    <tableColumn id="23" xr3:uid="{84281638-6B46-4306-9A37-4D2B70B91EAC}" name="Routes"/>
    <tableColumn id="24" xr3:uid="{6B0BC29C-0F50-410F-936B-D14DFC01681A}" name="Cos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83C5F6-3077-4BC8-A710-6154D9B00518}" name="Table2_1" displayName="Table2_1" ref="A1:AC101" tableType="queryTable" totalsRowShown="0">
  <autoFilter ref="A1:AC101" xr:uid="{CF83C5F6-3077-4BC8-A710-6154D9B00518}"/>
  <tableColumns count="29">
    <tableColumn id="1" xr3:uid="{7B7E2E17-B72E-4894-99D5-1FEAFC5BBA4B}" uniqueName="1" name="Product type" queryTableFieldId="1" dataDxfId="28"/>
    <tableColumn id="2" xr3:uid="{485E34DE-0489-4064-8E28-01ED464EF05A}" uniqueName="2" name="SKU" queryTableFieldId="2" dataDxfId="27"/>
    <tableColumn id="3" xr3:uid="{26DE5264-F04A-4028-9F1C-E50DAB18FCA0}" uniqueName="3" name="Price" queryTableFieldId="3" dataDxfId="26"/>
    <tableColumn id="4" xr3:uid="{833F59DC-C3C4-4A31-BD49-7EAB385B5A08}" uniqueName="4" name="Availability" queryTableFieldId="4" dataDxfId="25"/>
    <tableColumn id="5" xr3:uid="{EEC26267-C2D7-4EC4-9009-E0CAA39F4F93}" uniqueName="5" name="Number of products sold" queryTableFieldId="5" dataDxfId="24"/>
    <tableColumn id="6" xr3:uid="{207D8FD1-8FD6-4DF2-9ADC-7E95CCCF3ABC}" uniqueName="6" name="Revenue generated" queryTableFieldId="6" dataDxfId="23"/>
    <tableColumn id="7" xr3:uid="{4EE9DB47-6D3B-4C71-ADCF-9E9437FABFC1}" uniqueName="7" name="Customer demographics" queryTableFieldId="7" dataDxfId="22"/>
    <tableColumn id="8" xr3:uid="{181321B3-7B3E-4503-94A6-7C0E4E3F0F42}" uniqueName="8" name="Stock levels" queryTableFieldId="8" dataDxfId="21"/>
    <tableColumn id="26" xr3:uid="{D79C72A7-0D29-4289-B01A-CB49D5ECF5D7}" uniqueName="26" name="Stock Level Category" queryTableFieldId="26" dataDxfId="20">
      <calculatedColumnFormula>IF(Table2_1[[#This Row],[Stock levels]]&gt;=71,"OverStocked",IF(Table2_1[[#This Row],[Stock levels]]&gt;=51,"Optimal Stock",IF(Table2_1[[#This Row],[Stock levels]]&gt;=21,"Low stocked","Critical Stock")))</calculatedColumnFormula>
    </tableColumn>
    <tableColumn id="9" xr3:uid="{3A94FD9A-7953-4720-833F-5EA0E0735FC9}" uniqueName="9" name="Lead times" queryTableFieldId="9" dataDxfId="19"/>
    <tableColumn id="27" xr3:uid="{56AA0E72-6D37-4670-9B00-66F1F71FD451}" uniqueName="27" name="Lead Time Risk" queryTableFieldId="27" dataDxfId="18">
      <calculatedColumnFormula>IF(Table2_1[[#This Row],[Lead times]]&gt;=20,"High",IF(Table2_1[[#This Row],[Lead times]]&gt;=10,"Medium","Low"))</calculatedColumnFormula>
    </tableColumn>
    <tableColumn id="28" xr3:uid="{4EC98AE5-7F13-46FF-BE53-34FAFFF01FC1}" uniqueName="28" name="Inventory Movement Index" queryTableFieldId="28" dataDxfId="17">
      <calculatedColumnFormula>IFERROR(Table2_1[[#This Row],[Order quantities]]/Table2_1[[#This Row],[Stock levels]],0)</calculatedColumnFormula>
    </tableColumn>
    <tableColumn id="29" xr3:uid="{E7E7CE9A-8DAD-46C9-8602-F7BD01F16736}" uniqueName="29" name="Inventory movement" queryTableFieldId="29" dataDxfId="16">
      <calculatedColumnFormula>IF(Table2_1[[#This Row],[Inventory Movement Index]]&gt;=2,"Fast Moving",IF(Table2_1[[#This Row],[Inventory Movement Index]]&gt;=1,"Normal","Slow Moving"))</calculatedColumnFormula>
    </tableColumn>
    <tableColumn id="10" xr3:uid="{F84F58D6-59FF-49CD-ABF9-CC9196EB4843}" uniqueName="10" name="Order quantities" queryTableFieldId="10" dataDxfId="15"/>
    <tableColumn id="11" xr3:uid="{7325D2D6-4DB6-4AA9-B4D0-18165FC0BEE3}" uniqueName="11" name="Shipping times" queryTableFieldId="11" dataDxfId="14"/>
    <tableColumn id="12" xr3:uid="{B5FC2538-26B1-43E8-AD62-9FA4B981C776}" uniqueName="12" name="Shipping carriers" queryTableFieldId="12" dataDxfId="13"/>
    <tableColumn id="13" xr3:uid="{917C6BF9-13AF-4ED2-8F37-0C8C468FF50A}" uniqueName="13" name="Shipping costs" queryTableFieldId="13" dataDxfId="12"/>
    <tableColumn id="14" xr3:uid="{46F73497-9A04-41E3-91DE-2A6B6A723048}" uniqueName="14" name="Supplier name" queryTableFieldId="14" dataDxfId="11"/>
    <tableColumn id="15" xr3:uid="{73A53F1C-4CCF-4176-AB4E-FB403CC0CCAE}" uniqueName="15" name="Location" queryTableFieldId="15" dataDxfId="10"/>
    <tableColumn id="16" xr3:uid="{6844D8C3-2EAB-4F53-B7EA-511DD802A034}" uniqueName="16" name="Lead time" queryTableFieldId="16" dataDxfId="9"/>
    <tableColumn id="17" xr3:uid="{E62E0239-67C4-43E5-9CEB-C70A8E32A0C4}" uniqueName="17" name="Production volumes" queryTableFieldId="17" dataDxfId="8"/>
    <tableColumn id="18" xr3:uid="{FA6169A3-0ACE-423E-BFBD-016B1CD3C6D5}" uniqueName="18" name="Manufacturing lead time" queryTableFieldId="18" dataDxfId="7"/>
    <tableColumn id="19" xr3:uid="{89AD4FD1-7507-4532-94A6-BDB5D25E543A}" uniqueName="19" name="Manufacturing costs" queryTableFieldId="19" dataDxfId="6"/>
    <tableColumn id="20" xr3:uid="{8E977D38-14D6-47AA-9D95-382AB7AA854F}" uniqueName="20" name="Inspection results" queryTableFieldId="20" dataDxfId="5"/>
    <tableColumn id="21" xr3:uid="{AC6A917B-EC3E-4A5F-A5A4-A39E7A3910A5}" uniqueName="21" name="Defect rates" queryTableFieldId="21" dataDxfId="4"/>
    <tableColumn id="22" xr3:uid="{CCBD9C71-378A-4477-8691-2EA40C4A47E0}" uniqueName="22" name="Defect Rates%" queryTableFieldId="22" dataDxfId="3"/>
    <tableColumn id="23" xr3:uid="{63EE8ACC-9B0D-4348-BC25-31B8CB602BF1}" uniqueName="23" name="Transportation modes" queryTableFieldId="23" dataDxfId="2"/>
    <tableColumn id="24" xr3:uid="{FADDC2CD-F568-4E69-8E97-CC4961E5C0AB}" uniqueName="24" name="Routes" queryTableFieldId="24" dataDxfId="1"/>
    <tableColumn id="25" xr3:uid="{711BA6E5-B386-4E07-93B0-F3AD955031D9}" uniqueName="25" name="Costs" queryTableFieldId="25"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 Id="rId9"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25.xml"/><Relationship Id="rId2" Type="http://schemas.openxmlformats.org/officeDocument/2006/relationships/pivotTable" Target="../pivotTables/pivotTable24.xml"/><Relationship Id="rId1" Type="http://schemas.openxmlformats.org/officeDocument/2006/relationships/pivotTable" Target="../pivotTables/pivotTable23.xml"/><Relationship Id="rId5" Type="http://schemas.openxmlformats.org/officeDocument/2006/relationships/pivotTable" Target="../pivotTables/pivotTable27.xml"/><Relationship Id="rId4" Type="http://schemas.openxmlformats.org/officeDocument/2006/relationships/pivotTable" Target="../pivotTables/pivotTable2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0.xml"/><Relationship Id="rId2" Type="http://schemas.openxmlformats.org/officeDocument/2006/relationships/pivotTable" Target="../pivotTables/pivotTable29.xml"/><Relationship Id="rId1" Type="http://schemas.openxmlformats.org/officeDocument/2006/relationships/pivotTable" Target="../pivotTables/pivotTable28.xml"/><Relationship Id="rId6" Type="http://schemas.openxmlformats.org/officeDocument/2006/relationships/pivotTable" Target="../pivotTables/pivotTable33.xml"/><Relationship Id="rId5" Type="http://schemas.openxmlformats.org/officeDocument/2006/relationships/pivotTable" Target="../pivotTables/pivotTable32.xml"/><Relationship Id="rId4" Type="http://schemas.openxmlformats.org/officeDocument/2006/relationships/pivotTable" Target="../pivotTables/pivotTable3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6.xml"/><Relationship Id="rId2" Type="http://schemas.openxmlformats.org/officeDocument/2006/relationships/pivotTable" Target="../pivotTables/pivotTable35.xml"/><Relationship Id="rId1" Type="http://schemas.openxmlformats.org/officeDocument/2006/relationships/pivotTable" Target="../pivotTables/pivotTable34.xml"/><Relationship Id="rId6" Type="http://schemas.openxmlformats.org/officeDocument/2006/relationships/pivotTable" Target="../pivotTables/pivotTable39.xml"/><Relationship Id="rId5" Type="http://schemas.openxmlformats.org/officeDocument/2006/relationships/pivotTable" Target="../pivotTables/pivotTable38.xml"/><Relationship Id="rId4" Type="http://schemas.openxmlformats.org/officeDocument/2006/relationships/pivotTable" Target="../pivotTables/pivotTable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E34B4-3F80-4029-8D98-E8F859E43ECE}">
  <dimension ref="A1:X101"/>
  <sheetViews>
    <sheetView workbookViewId="0">
      <selection activeCell="H9" sqref="H9"/>
    </sheetView>
  </sheetViews>
  <sheetFormatPr defaultRowHeight="14.5" x14ac:dyDescent="0.35"/>
  <cols>
    <col min="1" max="1" width="13.36328125" customWidth="1"/>
    <col min="4" max="4" width="12.1796875" customWidth="1"/>
    <col min="5" max="5" width="23.26953125" customWidth="1"/>
    <col min="6" max="6" width="18.81640625" customWidth="1"/>
    <col min="7" max="7" width="23.26953125" customWidth="1"/>
    <col min="8" max="8" width="12.81640625" customWidth="1"/>
    <col min="9" max="9" width="11.90625" customWidth="1"/>
    <col min="10" max="10" width="16.36328125" customWidth="1"/>
    <col min="11" max="11" width="15.36328125" customWidth="1"/>
    <col min="12" max="12" width="17" customWidth="1"/>
    <col min="13" max="13" width="15.08984375" customWidth="1"/>
    <col min="14" max="14" width="15" customWidth="1"/>
    <col min="15" max="15" width="10" customWidth="1"/>
    <col min="16" max="16" width="11" customWidth="1"/>
    <col min="17" max="17" width="19.453125" customWidth="1"/>
    <col min="18" max="18" width="23.1796875" customWidth="1"/>
    <col min="19" max="19" width="19.81640625" customWidth="1"/>
    <col min="20" max="20" width="17.81640625" customWidth="1"/>
    <col min="21" max="21" width="12.90625" customWidth="1"/>
    <col min="22" max="22" width="21"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t="s">
        <v>24</v>
      </c>
      <c r="B2" t="s">
        <v>25</v>
      </c>
      <c r="C2">
        <v>69.808006000000006</v>
      </c>
      <c r="D2">
        <v>55</v>
      </c>
      <c r="E2">
        <v>802</v>
      </c>
      <c r="F2">
        <v>8661.9967919999999</v>
      </c>
      <c r="G2" t="s">
        <v>26</v>
      </c>
      <c r="H2">
        <v>58</v>
      </c>
      <c r="I2">
        <v>7</v>
      </c>
      <c r="J2">
        <v>96</v>
      </c>
      <c r="K2">
        <v>4</v>
      </c>
      <c r="L2" t="s">
        <v>27</v>
      </c>
      <c r="M2">
        <v>2.956572</v>
      </c>
      <c r="N2" t="s">
        <v>28</v>
      </c>
      <c r="O2" t="s">
        <v>29</v>
      </c>
      <c r="P2">
        <v>29</v>
      </c>
      <c r="Q2">
        <v>215</v>
      </c>
      <c r="R2">
        <v>29</v>
      </c>
      <c r="S2">
        <v>46.279879000000001</v>
      </c>
      <c r="T2" t="s">
        <v>30</v>
      </c>
      <c r="U2">
        <v>0.22641</v>
      </c>
      <c r="V2" t="s">
        <v>31</v>
      </c>
      <c r="W2" t="s">
        <v>32</v>
      </c>
      <c r="X2">
        <v>187.75207499999999</v>
      </c>
    </row>
    <row r="3" spans="1:24" x14ac:dyDescent="0.35">
      <c r="A3" t="s">
        <v>33</v>
      </c>
      <c r="B3" t="s">
        <v>34</v>
      </c>
      <c r="C3">
        <v>14.843522999999999</v>
      </c>
      <c r="D3">
        <v>95</v>
      </c>
      <c r="E3">
        <v>736</v>
      </c>
      <c r="F3">
        <v>7460.9000649999998</v>
      </c>
      <c r="G3" t="s">
        <v>35</v>
      </c>
      <c r="H3">
        <v>53</v>
      </c>
      <c r="I3">
        <v>30</v>
      </c>
      <c r="J3">
        <v>37</v>
      </c>
      <c r="K3">
        <v>2</v>
      </c>
      <c r="L3" t="s">
        <v>36</v>
      </c>
      <c r="M3">
        <v>9.7165750000000006</v>
      </c>
      <c r="N3" t="s">
        <v>28</v>
      </c>
      <c r="O3" t="s">
        <v>29</v>
      </c>
      <c r="P3">
        <v>23</v>
      </c>
      <c r="Q3">
        <v>517</v>
      </c>
      <c r="R3">
        <v>30</v>
      </c>
      <c r="S3">
        <v>33.616768999999998</v>
      </c>
      <c r="T3" t="s">
        <v>30</v>
      </c>
      <c r="U3">
        <v>4.8540679999999998</v>
      </c>
      <c r="V3" t="s">
        <v>31</v>
      </c>
      <c r="W3" t="s">
        <v>32</v>
      </c>
      <c r="X3">
        <v>503.06557900000001</v>
      </c>
    </row>
    <row r="4" spans="1:24" x14ac:dyDescent="0.35">
      <c r="A4" t="s">
        <v>24</v>
      </c>
      <c r="B4" t="s">
        <v>37</v>
      </c>
      <c r="C4">
        <v>11.319682999999999</v>
      </c>
      <c r="D4">
        <v>34</v>
      </c>
      <c r="E4">
        <v>8</v>
      </c>
      <c r="F4">
        <v>9577.7496260000007</v>
      </c>
      <c r="G4" t="s">
        <v>38</v>
      </c>
      <c r="H4">
        <v>1</v>
      </c>
      <c r="I4">
        <v>10</v>
      </c>
      <c r="J4">
        <v>88</v>
      </c>
      <c r="K4">
        <v>2</v>
      </c>
      <c r="L4" t="s">
        <v>27</v>
      </c>
      <c r="M4">
        <v>8.0544790000000006</v>
      </c>
      <c r="N4" t="s">
        <v>39</v>
      </c>
      <c r="O4" t="s">
        <v>29</v>
      </c>
      <c r="P4">
        <v>12</v>
      </c>
      <c r="Q4">
        <v>971</v>
      </c>
      <c r="R4">
        <v>27</v>
      </c>
      <c r="S4">
        <v>30.688019000000001</v>
      </c>
      <c r="T4" t="s">
        <v>30</v>
      </c>
      <c r="U4">
        <v>4.5805930000000004</v>
      </c>
      <c r="V4" t="s">
        <v>40</v>
      </c>
      <c r="W4" t="s">
        <v>41</v>
      </c>
      <c r="X4">
        <v>141.92028199999999</v>
      </c>
    </row>
    <row r="5" spans="1:24" x14ac:dyDescent="0.35">
      <c r="A5" t="s">
        <v>33</v>
      </c>
      <c r="B5" t="s">
        <v>42</v>
      </c>
      <c r="C5">
        <v>61.163342999999998</v>
      </c>
      <c r="D5">
        <v>68</v>
      </c>
      <c r="E5">
        <v>83</v>
      </c>
      <c r="F5">
        <v>7766.8364259999998</v>
      </c>
      <c r="G5" t="s">
        <v>26</v>
      </c>
      <c r="H5">
        <v>23</v>
      </c>
      <c r="I5">
        <v>13</v>
      </c>
      <c r="J5">
        <v>59</v>
      </c>
      <c r="K5">
        <v>6</v>
      </c>
      <c r="L5" t="s">
        <v>43</v>
      </c>
      <c r="M5">
        <v>1.7295689999999999</v>
      </c>
      <c r="N5" t="s">
        <v>44</v>
      </c>
      <c r="O5" t="s">
        <v>45</v>
      </c>
      <c r="P5">
        <v>24</v>
      </c>
      <c r="Q5">
        <v>937</v>
      </c>
      <c r="R5">
        <v>18</v>
      </c>
      <c r="S5">
        <v>35.624741</v>
      </c>
      <c r="T5" t="s">
        <v>46</v>
      </c>
      <c r="U5">
        <v>4.7466489999999997</v>
      </c>
      <c r="V5" t="s">
        <v>47</v>
      </c>
      <c r="W5" t="s">
        <v>48</v>
      </c>
      <c r="X5">
        <v>254.77615900000001</v>
      </c>
    </row>
    <row r="6" spans="1:24" x14ac:dyDescent="0.35">
      <c r="A6" t="s">
        <v>33</v>
      </c>
      <c r="B6" t="s">
        <v>49</v>
      </c>
      <c r="C6">
        <v>4.8054959999999998</v>
      </c>
      <c r="D6">
        <v>26</v>
      </c>
      <c r="E6">
        <v>871</v>
      </c>
      <c r="F6">
        <v>2686.5051520000002</v>
      </c>
      <c r="G6" t="s">
        <v>26</v>
      </c>
      <c r="H6">
        <v>5</v>
      </c>
      <c r="I6">
        <v>3</v>
      </c>
      <c r="J6">
        <v>56</v>
      </c>
      <c r="K6">
        <v>8</v>
      </c>
      <c r="L6" t="s">
        <v>36</v>
      </c>
      <c r="M6">
        <v>3.8905479999999999</v>
      </c>
      <c r="N6" t="s">
        <v>39</v>
      </c>
      <c r="O6" t="s">
        <v>50</v>
      </c>
      <c r="P6">
        <v>5</v>
      </c>
      <c r="Q6">
        <v>414</v>
      </c>
      <c r="R6">
        <v>3</v>
      </c>
      <c r="S6">
        <v>92.065161000000003</v>
      </c>
      <c r="T6" t="s">
        <v>46</v>
      </c>
      <c r="U6">
        <v>3.1455799999999998</v>
      </c>
      <c r="V6" t="s">
        <v>40</v>
      </c>
      <c r="W6" t="s">
        <v>48</v>
      </c>
      <c r="X6">
        <v>923.44063200000005</v>
      </c>
    </row>
    <row r="7" spans="1:24" x14ac:dyDescent="0.35">
      <c r="A7" t="s">
        <v>24</v>
      </c>
      <c r="B7" t="s">
        <v>51</v>
      </c>
      <c r="C7">
        <v>1.6999759999999999</v>
      </c>
      <c r="D7">
        <v>87</v>
      </c>
      <c r="E7">
        <v>147</v>
      </c>
      <c r="F7">
        <v>2828.3487460000001</v>
      </c>
      <c r="G7" t="s">
        <v>26</v>
      </c>
      <c r="H7">
        <v>90</v>
      </c>
      <c r="I7">
        <v>27</v>
      </c>
      <c r="J7">
        <v>66</v>
      </c>
      <c r="K7">
        <v>3</v>
      </c>
      <c r="L7" t="s">
        <v>27</v>
      </c>
      <c r="M7">
        <v>4.4440989999999996</v>
      </c>
      <c r="N7" t="s">
        <v>52</v>
      </c>
      <c r="O7" t="s">
        <v>53</v>
      </c>
      <c r="P7">
        <v>10</v>
      </c>
      <c r="Q7">
        <v>104</v>
      </c>
      <c r="R7">
        <v>17</v>
      </c>
      <c r="S7">
        <v>56.766475999999997</v>
      </c>
      <c r="T7" t="s">
        <v>46</v>
      </c>
      <c r="U7">
        <v>2.7791939999999999</v>
      </c>
      <c r="V7" t="s">
        <v>31</v>
      </c>
      <c r="W7" t="s">
        <v>48</v>
      </c>
      <c r="X7">
        <v>235.46123700000001</v>
      </c>
    </row>
    <row r="8" spans="1:24" x14ac:dyDescent="0.35">
      <c r="A8" t="s">
        <v>33</v>
      </c>
      <c r="B8" t="s">
        <v>54</v>
      </c>
      <c r="C8">
        <v>4.0783329999999998</v>
      </c>
      <c r="D8">
        <v>48</v>
      </c>
      <c r="E8">
        <v>65</v>
      </c>
      <c r="F8">
        <v>7823.4765600000001</v>
      </c>
      <c r="G8" t="s">
        <v>55</v>
      </c>
      <c r="H8">
        <v>11</v>
      </c>
      <c r="I8">
        <v>15</v>
      </c>
      <c r="J8">
        <v>58</v>
      </c>
      <c r="K8">
        <v>8</v>
      </c>
      <c r="L8" t="s">
        <v>43</v>
      </c>
      <c r="M8">
        <v>3.880763</v>
      </c>
      <c r="N8" t="s">
        <v>28</v>
      </c>
      <c r="O8" t="s">
        <v>45</v>
      </c>
      <c r="P8">
        <v>14</v>
      </c>
      <c r="Q8">
        <v>314</v>
      </c>
      <c r="R8">
        <v>24</v>
      </c>
      <c r="S8">
        <v>1.0850690000000001</v>
      </c>
      <c r="T8" t="s">
        <v>30</v>
      </c>
      <c r="U8">
        <v>1.0009110000000001</v>
      </c>
      <c r="V8" t="s">
        <v>56</v>
      </c>
      <c r="W8" t="s">
        <v>48</v>
      </c>
      <c r="X8">
        <v>134.36909700000001</v>
      </c>
    </row>
    <row r="9" spans="1:24" x14ac:dyDescent="0.35">
      <c r="A9" t="s">
        <v>57</v>
      </c>
      <c r="B9" t="s">
        <v>58</v>
      </c>
      <c r="C9">
        <v>42.958384000000002</v>
      </c>
      <c r="D9">
        <v>59</v>
      </c>
      <c r="E9">
        <v>426</v>
      </c>
      <c r="F9">
        <v>8496.1038129999997</v>
      </c>
      <c r="G9" t="s">
        <v>35</v>
      </c>
      <c r="H9">
        <v>93</v>
      </c>
      <c r="I9">
        <v>17</v>
      </c>
      <c r="J9">
        <v>11</v>
      </c>
      <c r="K9">
        <v>1</v>
      </c>
      <c r="L9" t="s">
        <v>27</v>
      </c>
      <c r="M9">
        <v>2.3483390000000002</v>
      </c>
      <c r="N9" t="s">
        <v>52</v>
      </c>
      <c r="O9" t="s">
        <v>53</v>
      </c>
      <c r="P9">
        <v>22</v>
      </c>
      <c r="Q9">
        <v>564</v>
      </c>
      <c r="R9">
        <v>1</v>
      </c>
      <c r="S9">
        <v>99.466109000000003</v>
      </c>
      <c r="T9" t="s">
        <v>46</v>
      </c>
      <c r="U9">
        <v>0.398177</v>
      </c>
      <c r="V9" t="s">
        <v>31</v>
      </c>
      <c r="W9" t="s">
        <v>41</v>
      </c>
      <c r="X9">
        <v>802.05631200000005</v>
      </c>
    </row>
    <row r="10" spans="1:24" x14ac:dyDescent="0.35">
      <c r="A10" t="s">
        <v>57</v>
      </c>
      <c r="B10" t="s">
        <v>59</v>
      </c>
      <c r="C10">
        <v>68.717596999999998</v>
      </c>
      <c r="D10">
        <v>78</v>
      </c>
      <c r="E10">
        <v>150</v>
      </c>
      <c r="F10">
        <v>7517.3632109999999</v>
      </c>
      <c r="G10" t="s">
        <v>35</v>
      </c>
      <c r="H10">
        <v>5</v>
      </c>
      <c r="I10">
        <v>10</v>
      </c>
      <c r="J10">
        <v>15</v>
      </c>
      <c r="K10">
        <v>7</v>
      </c>
      <c r="L10" t="s">
        <v>43</v>
      </c>
      <c r="M10">
        <v>3.4047339999999999</v>
      </c>
      <c r="N10" t="s">
        <v>52</v>
      </c>
      <c r="O10" t="s">
        <v>29</v>
      </c>
      <c r="P10">
        <v>13</v>
      </c>
      <c r="Q10">
        <v>769</v>
      </c>
      <c r="R10">
        <v>8</v>
      </c>
      <c r="S10">
        <v>11.423026999999999</v>
      </c>
      <c r="T10" t="s">
        <v>30</v>
      </c>
      <c r="U10">
        <v>2.7098629999999999</v>
      </c>
      <c r="V10" t="s">
        <v>56</v>
      </c>
      <c r="W10" t="s">
        <v>32</v>
      </c>
      <c r="X10">
        <v>505.55713400000002</v>
      </c>
    </row>
    <row r="11" spans="1:24" x14ac:dyDescent="0.35">
      <c r="A11" t="s">
        <v>33</v>
      </c>
      <c r="B11" t="s">
        <v>60</v>
      </c>
      <c r="C11">
        <v>64.015732999999997</v>
      </c>
      <c r="D11">
        <v>35</v>
      </c>
      <c r="E11">
        <v>980</v>
      </c>
      <c r="F11">
        <v>4971.1459880000002</v>
      </c>
      <c r="G11" t="s">
        <v>38</v>
      </c>
      <c r="H11">
        <v>14</v>
      </c>
      <c r="I11">
        <v>27</v>
      </c>
      <c r="J11">
        <v>83</v>
      </c>
      <c r="K11">
        <v>1</v>
      </c>
      <c r="L11" t="s">
        <v>36</v>
      </c>
      <c r="M11">
        <v>7.1666449999999999</v>
      </c>
      <c r="N11" t="s">
        <v>61</v>
      </c>
      <c r="O11" t="s">
        <v>62</v>
      </c>
      <c r="P11">
        <v>29</v>
      </c>
      <c r="Q11">
        <v>963</v>
      </c>
      <c r="R11">
        <v>23</v>
      </c>
      <c r="S11">
        <v>47.957602000000001</v>
      </c>
      <c r="T11" t="s">
        <v>30</v>
      </c>
      <c r="U11">
        <v>3.844614</v>
      </c>
      <c r="V11" t="s">
        <v>47</v>
      </c>
      <c r="W11" t="s">
        <v>32</v>
      </c>
      <c r="X11">
        <v>995.92946099999995</v>
      </c>
    </row>
    <row r="12" spans="1:24" x14ac:dyDescent="0.35">
      <c r="A12" t="s">
        <v>33</v>
      </c>
      <c r="B12" t="s">
        <v>63</v>
      </c>
      <c r="C12">
        <v>15.707796</v>
      </c>
      <c r="D12">
        <v>11</v>
      </c>
      <c r="E12">
        <v>996</v>
      </c>
      <c r="F12">
        <v>2330.9658020000002</v>
      </c>
      <c r="G12" t="s">
        <v>26</v>
      </c>
      <c r="H12">
        <v>51</v>
      </c>
      <c r="I12">
        <v>13</v>
      </c>
      <c r="J12">
        <v>80</v>
      </c>
      <c r="K12">
        <v>2</v>
      </c>
      <c r="L12" t="s">
        <v>43</v>
      </c>
      <c r="M12">
        <v>8.6732110000000002</v>
      </c>
      <c r="N12" t="s">
        <v>44</v>
      </c>
      <c r="O12" t="s">
        <v>45</v>
      </c>
      <c r="P12">
        <v>18</v>
      </c>
      <c r="Q12">
        <v>830</v>
      </c>
      <c r="R12">
        <v>5</v>
      </c>
      <c r="S12">
        <v>96.527353000000005</v>
      </c>
      <c r="T12" t="s">
        <v>64</v>
      </c>
      <c r="U12">
        <v>1.727314</v>
      </c>
      <c r="V12" t="s">
        <v>31</v>
      </c>
      <c r="W12" t="s">
        <v>32</v>
      </c>
      <c r="X12">
        <v>806.10317799999996</v>
      </c>
    </row>
    <row r="13" spans="1:24" x14ac:dyDescent="0.35">
      <c r="A13" t="s">
        <v>33</v>
      </c>
      <c r="B13" t="s">
        <v>65</v>
      </c>
      <c r="C13">
        <v>90.635459999999995</v>
      </c>
      <c r="D13">
        <v>95</v>
      </c>
      <c r="E13">
        <v>960</v>
      </c>
      <c r="F13">
        <v>6099.9441159999997</v>
      </c>
      <c r="G13" t="s">
        <v>35</v>
      </c>
      <c r="H13">
        <v>46</v>
      </c>
      <c r="I13">
        <v>23</v>
      </c>
      <c r="J13">
        <v>60</v>
      </c>
      <c r="K13">
        <v>1</v>
      </c>
      <c r="L13" t="s">
        <v>36</v>
      </c>
      <c r="M13">
        <v>4.523943</v>
      </c>
      <c r="N13" t="s">
        <v>61</v>
      </c>
      <c r="O13" t="s">
        <v>45</v>
      </c>
      <c r="P13">
        <v>28</v>
      </c>
      <c r="Q13">
        <v>362</v>
      </c>
      <c r="R13">
        <v>11</v>
      </c>
      <c r="S13">
        <v>27.592362999999999</v>
      </c>
      <c r="T13" t="s">
        <v>30</v>
      </c>
      <c r="U13">
        <v>2.1170000000000001E-2</v>
      </c>
      <c r="V13" t="s">
        <v>40</v>
      </c>
      <c r="W13" t="s">
        <v>48</v>
      </c>
      <c r="X13">
        <v>126.723033</v>
      </c>
    </row>
    <row r="14" spans="1:24" x14ac:dyDescent="0.35">
      <c r="A14" t="s">
        <v>24</v>
      </c>
      <c r="B14" t="s">
        <v>66</v>
      </c>
      <c r="C14">
        <v>71.213389000000006</v>
      </c>
      <c r="D14">
        <v>41</v>
      </c>
      <c r="E14">
        <v>336</v>
      </c>
      <c r="F14">
        <v>2873.741446</v>
      </c>
      <c r="G14" t="s">
        <v>38</v>
      </c>
      <c r="H14">
        <v>100</v>
      </c>
      <c r="I14">
        <v>30</v>
      </c>
      <c r="J14">
        <v>85</v>
      </c>
      <c r="K14">
        <v>4</v>
      </c>
      <c r="L14" t="s">
        <v>36</v>
      </c>
      <c r="M14">
        <v>1.3252740000000001</v>
      </c>
      <c r="N14" t="s">
        <v>52</v>
      </c>
      <c r="O14" t="s">
        <v>45</v>
      </c>
      <c r="P14">
        <v>3</v>
      </c>
      <c r="Q14">
        <v>563</v>
      </c>
      <c r="R14">
        <v>3</v>
      </c>
      <c r="S14">
        <v>32.321286000000001</v>
      </c>
      <c r="T14" t="s">
        <v>46</v>
      </c>
      <c r="U14">
        <v>2.161254</v>
      </c>
      <c r="V14" t="s">
        <v>31</v>
      </c>
      <c r="W14" t="s">
        <v>32</v>
      </c>
      <c r="X14">
        <v>402.96878900000002</v>
      </c>
    </row>
    <row r="15" spans="1:24" x14ac:dyDescent="0.35">
      <c r="A15" t="s">
        <v>33</v>
      </c>
      <c r="B15" t="s">
        <v>67</v>
      </c>
      <c r="C15">
        <v>16.160392999999999</v>
      </c>
      <c r="D15">
        <v>5</v>
      </c>
      <c r="E15">
        <v>249</v>
      </c>
      <c r="F15">
        <v>4052.7384160000001</v>
      </c>
      <c r="G15" t="s">
        <v>55</v>
      </c>
      <c r="H15">
        <v>80</v>
      </c>
      <c r="I15">
        <v>8</v>
      </c>
      <c r="J15">
        <v>48</v>
      </c>
      <c r="K15">
        <v>9</v>
      </c>
      <c r="L15" t="s">
        <v>36</v>
      </c>
      <c r="M15">
        <v>9.5372830000000004</v>
      </c>
      <c r="N15" t="s">
        <v>44</v>
      </c>
      <c r="O15" t="s">
        <v>53</v>
      </c>
      <c r="P15">
        <v>23</v>
      </c>
      <c r="Q15">
        <v>173</v>
      </c>
      <c r="R15">
        <v>10</v>
      </c>
      <c r="S15">
        <v>97.829049999999995</v>
      </c>
      <c r="T15" t="s">
        <v>30</v>
      </c>
      <c r="U15">
        <v>1.6310739999999999</v>
      </c>
      <c r="V15" t="s">
        <v>31</v>
      </c>
      <c r="W15" t="s">
        <v>32</v>
      </c>
      <c r="X15">
        <v>547.24100499999997</v>
      </c>
    </row>
    <row r="16" spans="1:24" x14ac:dyDescent="0.35">
      <c r="A16" t="s">
        <v>33</v>
      </c>
      <c r="B16" t="s">
        <v>68</v>
      </c>
      <c r="C16">
        <v>99.171329</v>
      </c>
      <c r="D16">
        <v>26</v>
      </c>
      <c r="E16">
        <v>562</v>
      </c>
      <c r="F16">
        <v>8653.5709260000003</v>
      </c>
      <c r="G16" t="s">
        <v>26</v>
      </c>
      <c r="H16">
        <v>54</v>
      </c>
      <c r="I16">
        <v>29</v>
      </c>
      <c r="J16">
        <v>78</v>
      </c>
      <c r="K16">
        <v>5</v>
      </c>
      <c r="L16" t="s">
        <v>27</v>
      </c>
      <c r="M16">
        <v>2.0397699999999999</v>
      </c>
      <c r="N16" t="s">
        <v>39</v>
      </c>
      <c r="O16" t="s">
        <v>45</v>
      </c>
      <c r="P16">
        <v>25</v>
      </c>
      <c r="Q16">
        <v>558</v>
      </c>
      <c r="R16">
        <v>14</v>
      </c>
      <c r="S16">
        <v>5.7914370000000002</v>
      </c>
      <c r="T16" t="s">
        <v>30</v>
      </c>
      <c r="U16">
        <v>0.10068299999999999</v>
      </c>
      <c r="V16" t="s">
        <v>40</v>
      </c>
      <c r="W16" t="s">
        <v>32</v>
      </c>
      <c r="X16">
        <v>929.23528999999996</v>
      </c>
    </row>
    <row r="17" spans="1:24" x14ac:dyDescent="0.35">
      <c r="A17" t="s">
        <v>33</v>
      </c>
      <c r="B17" t="s">
        <v>69</v>
      </c>
      <c r="C17">
        <v>36.989244999999997</v>
      </c>
      <c r="D17">
        <v>94</v>
      </c>
      <c r="E17">
        <v>469</v>
      </c>
      <c r="F17">
        <v>5442.0867850000004</v>
      </c>
      <c r="G17" t="s">
        <v>26</v>
      </c>
      <c r="H17">
        <v>9</v>
      </c>
      <c r="I17">
        <v>8</v>
      </c>
      <c r="J17">
        <v>69</v>
      </c>
      <c r="K17">
        <v>7</v>
      </c>
      <c r="L17" t="s">
        <v>27</v>
      </c>
      <c r="M17">
        <v>2.42204</v>
      </c>
      <c r="N17" t="s">
        <v>39</v>
      </c>
      <c r="O17" t="s">
        <v>53</v>
      </c>
      <c r="P17">
        <v>14</v>
      </c>
      <c r="Q17">
        <v>580</v>
      </c>
      <c r="R17">
        <v>7</v>
      </c>
      <c r="S17">
        <v>97.121281999999994</v>
      </c>
      <c r="T17" t="s">
        <v>64</v>
      </c>
      <c r="U17">
        <v>2.2644060000000001</v>
      </c>
      <c r="V17" t="s">
        <v>56</v>
      </c>
      <c r="W17" t="s">
        <v>32</v>
      </c>
      <c r="X17">
        <v>127.8618</v>
      </c>
    </row>
    <row r="18" spans="1:24" x14ac:dyDescent="0.35">
      <c r="A18" t="s">
        <v>33</v>
      </c>
      <c r="B18" t="s">
        <v>70</v>
      </c>
      <c r="C18">
        <v>7.5471719999999998</v>
      </c>
      <c r="D18">
        <v>74</v>
      </c>
      <c r="E18">
        <v>280</v>
      </c>
      <c r="F18">
        <v>6453.7979679999999</v>
      </c>
      <c r="G18" t="s">
        <v>35</v>
      </c>
      <c r="H18">
        <v>2</v>
      </c>
      <c r="I18">
        <v>5</v>
      </c>
      <c r="J18">
        <v>78</v>
      </c>
      <c r="K18">
        <v>1</v>
      </c>
      <c r="L18" t="s">
        <v>27</v>
      </c>
      <c r="M18">
        <v>4.191325</v>
      </c>
      <c r="N18" t="s">
        <v>39</v>
      </c>
      <c r="O18" t="s">
        <v>53</v>
      </c>
      <c r="P18">
        <v>3</v>
      </c>
      <c r="Q18">
        <v>399</v>
      </c>
      <c r="R18">
        <v>21</v>
      </c>
      <c r="S18">
        <v>77.106341999999998</v>
      </c>
      <c r="T18" t="s">
        <v>64</v>
      </c>
      <c r="U18">
        <v>1.0125630000000001</v>
      </c>
      <c r="V18" t="s">
        <v>40</v>
      </c>
      <c r="W18" t="s">
        <v>48</v>
      </c>
      <c r="X18">
        <v>865.52578000000005</v>
      </c>
    </row>
    <row r="19" spans="1:24" x14ac:dyDescent="0.35">
      <c r="A19" t="s">
        <v>57</v>
      </c>
      <c r="B19" t="s">
        <v>71</v>
      </c>
      <c r="C19">
        <v>81.462534000000005</v>
      </c>
      <c r="D19">
        <v>82</v>
      </c>
      <c r="E19">
        <v>126</v>
      </c>
      <c r="F19">
        <v>2629.3964350000001</v>
      </c>
      <c r="G19" t="s">
        <v>35</v>
      </c>
      <c r="H19">
        <v>45</v>
      </c>
      <c r="I19">
        <v>17</v>
      </c>
      <c r="J19">
        <v>85</v>
      </c>
      <c r="K19">
        <v>9</v>
      </c>
      <c r="L19" t="s">
        <v>43</v>
      </c>
      <c r="M19">
        <v>3.5854189999999999</v>
      </c>
      <c r="N19" t="s">
        <v>39</v>
      </c>
      <c r="O19" t="s">
        <v>62</v>
      </c>
      <c r="P19">
        <v>7</v>
      </c>
      <c r="Q19">
        <v>453</v>
      </c>
      <c r="R19">
        <v>16</v>
      </c>
      <c r="S19">
        <v>47.679679999999998</v>
      </c>
      <c r="T19" t="s">
        <v>46</v>
      </c>
      <c r="U19">
        <v>0.102021</v>
      </c>
      <c r="V19" t="s">
        <v>40</v>
      </c>
      <c r="W19" t="s">
        <v>41</v>
      </c>
      <c r="X19">
        <v>670.93439100000001</v>
      </c>
    </row>
    <row r="20" spans="1:24" x14ac:dyDescent="0.35">
      <c r="A20" t="s">
        <v>24</v>
      </c>
      <c r="B20" t="s">
        <v>72</v>
      </c>
      <c r="C20">
        <v>36.443627999999997</v>
      </c>
      <c r="D20">
        <v>23</v>
      </c>
      <c r="E20">
        <v>620</v>
      </c>
      <c r="F20">
        <v>9364.6735050000007</v>
      </c>
      <c r="G20" t="s">
        <v>38</v>
      </c>
      <c r="H20">
        <v>10</v>
      </c>
      <c r="I20">
        <v>10</v>
      </c>
      <c r="J20">
        <v>46</v>
      </c>
      <c r="K20">
        <v>8</v>
      </c>
      <c r="L20" t="s">
        <v>43</v>
      </c>
      <c r="M20">
        <v>4.3392249999999999</v>
      </c>
      <c r="N20" t="s">
        <v>61</v>
      </c>
      <c r="O20" t="s">
        <v>45</v>
      </c>
      <c r="P20">
        <v>18</v>
      </c>
      <c r="Q20">
        <v>374</v>
      </c>
      <c r="R20">
        <v>17</v>
      </c>
      <c r="S20">
        <v>27.107980999999999</v>
      </c>
      <c r="T20" t="s">
        <v>30</v>
      </c>
      <c r="U20">
        <v>2.2319390000000001</v>
      </c>
      <c r="V20" t="s">
        <v>56</v>
      </c>
      <c r="W20" t="s">
        <v>48</v>
      </c>
      <c r="X20">
        <v>593.48025900000005</v>
      </c>
    </row>
    <row r="21" spans="1:24" x14ac:dyDescent="0.35">
      <c r="A21" t="s">
        <v>33</v>
      </c>
      <c r="B21" t="s">
        <v>73</v>
      </c>
      <c r="C21">
        <v>51.123869999999997</v>
      </c>
      <c r="D21">
        <v>100</v>
      </c>
      <c r="E21">
        <v>187</v>
      </c>
      <c r="F21">
        <v>2553.4955850000001</v>
      </c>
      <c r="G21" t="s">
        <v>38</v>
      </c>
      <c r="H21">
        <v>48</v>
      </c>
      <c r="I21">
        <v>11</v>
      </c>
      <c r="J21">
        <v>94</v>
      </c>
      <c r="K21">
        <v>3</v>
      </c>
      <c r="L21" t="s">
        <v>36</v>
      </c>
      <c r="M21">
        <v>4.7426360000000001</v>
      </c>
      <c r="N21" t="s">
        <v>52</v>
      </c>
      <c r="O21" t="s">
        <v>62</v>
      </c>
      <c r="P21">
        <v>20</v>
      </c>
      <c r="Q21">
        <v>694</v>
      </c>
      <c r="R21">
        <v>16</v>
      </c>
      <c r="S21">
        <v>82.373321000000004</v>
      </c>
      <c r="T21" t="s">
        <v>46</v>
      </c>
      <c r="U21">
        <v>3.6464509999999999</v>
      </c>
      <c r="V21" t="s">
        <v>31</v>
      </c>
      <c r="W21" t="s">
        <v>41</v>
      </c>
      <c r="X21">
        <v>477.30763100000001</v>
      </c>
    </row>
    <row r="22" spans="1:24" x14ac:dyDescent="0.35">
      <c r="A22" t="s">
        <v>33</v>
      </c>
      <c r="B22" t="s">
        <v>74</v>
      </c>
      <c r="C22">
        <v>96.341071999999997</v>
      </c>
      <c r="D22">
        <v>22</v>
      </c>
      <c r="E22">
        <v>320</v>
      </c>
      <c r="F22">
        <v>8128.0276970000004</v>
      </c>
      <c r="G22" t="s">
        <v>38</v>
      </c>
      <c r="H22">
        <v>27</v>
      </c>
      <c r="I22">
        <v>12</v>
      </c>
      <c r="J22">
        <v>68</v>
      </c>
      <c r="K22">
        <v>6</v>
      </c>
      <c r="L22" t="s">
        <v>36</v>
      </c>
      <c r="M22">
        <v>8.8783349999999999</v>
      </c>
      <c r="N22" t="s">
        <v>39</v>
      </c>
      <c r="O22" t="s">
        <v>62</v>
      </c>
      <c r="P22">
        <v>29</v>
      </c>
      <c r="Q22">
        <v>309</v>
      </c>
      <c r="R22">
        <v>6</v>
      </c>
      <c r="S22">
        <v>65.686260000000004</v>
      </c>
      <c r="T22" t="s">
        <v>64</v>
      </c>
      <c r="U22">
        <v>4.2314170000000004</v>
      </c>
      <c r="V22" t="s">
        <v>40</v>
      </c>
      <c r="W22" t="s">
        <v>32</v>
      </c>
      <c r="X22">
        <v>493.87121500000001</v>
      </c>
    </row>
    <row r="23" spans="1:24" x14ac:dyDescent="0.35">
      <c r="A23" t="s">
        <v>57</v>
      </c>
      <c r="B23" t="s">
        <v>75</v>
      </c>
      <c r="C23">
        <v>84.893868999999995</v>
      </c>
      <c r="D23">
        <v>60</v>
      </c>
      <c r="E23">
        <v>601</v>
      </c>
      <c r="F23">
        <v>7087.0526959999997</v>
      </c>
      <c r="G23" t="s">
        <v>38</v>
      </c>
      <c r="H23">
        <v>69</v>
      </c>
      <c r="I23">
        <v>25</v>
      </c>
      <c r="J23">
        <v>7</v>
      </c>
      <c r="K23">
        <v>6</v>
      </c>
      <c r="L23" t="s">
        <v>27</v>
      </c>
      <c r="M23">
        <v>6.037884</v>
      </c>
      <c r="N23" t="s">
        <v>44</v>
      </c>
      <c r="O23" t="s">
        <v>62</v>
      </c>
      <c r="P23">
        <v>19</v>
      </c>
      <c r="Q23">
        <v>791</v>
      </c>
      <c r="R23">
        <v>4</v>
      </c>
      <c r="S23">
        <v>61.735728999999999</v>
      </c>
      <c r="T23" t="s">
        <v>30</v>
      </c>
      <c r="U23">
        <v>1.8608E-2</v>
      </c>
      <c r="V23" t="s">
        <v>40</v>
      </c>
      <c r="W23" t="s">
        <v>41</v>
      </c>
      <c r="X23">
        <v>523.36091499999998</v>
      </c>
    </row>
    <row r="24" spans="1:24" x14ac:dyDescent="0.35">
      <c r="A24" t="s">
        <v>24</v>
      </c>
      <c r="B24" t="s">
        <v>76</v>
      </c>
      <c r="C24">
        <v>27.679780999999998</v>
      </c>
      <c r="D24">
        <v>55</v>
      </c>
      <c r="E24">
        <v>884</v>
      </c>
      <c r="F24">
        <v>2390.807867</v>
      </c>
      <c r="G24" t="s">
        <v>38</v>
      </c>
      <c r="H24">
        <v>71</v>
      </c>
      <c r="I24">
        <v>1</v>
      </c>
      <c r="J24">
        <v>63</v>
      </c>
      <c r="K24">
        <v>10</v>
      </c>
      <c r="L24" t="s">
        <v>36</v>
      </c>
      <c r="M24">
        <v>9.5676489999999994</v>
      </c>
      <c r="N24" t="s">
        <v>52</v>
      </c>
      <c r="O24" t="s">
        <v>45</v>
      </c>
      <c r="P24">
        <v>22</v>
      </c>
      <c r="Q24">
        <v>780</v>
      </c>
      <c r="R24">
        <v>28</v>
      </c>
      <c r="S24">
        <v>50.120840000000001</v>
      </c>
      <c r="T24" t="s">
        <v>46</v>
      </c>
      <c r="U24">
        <v>2.591275</v>
      </c>
      <c r="V24" t="s">
        <v>47</v>
      </c>
      <c r="W24" t="s">
        <v>41</v>
      </c>
      <c r="X24">
        <v>205.57199600000001</v>
      </c>
    </row>
    <row r="25" spans="1:24" x14ac:dyDescent="0.35">
      <c r="A25" t="s">
        <v>57</v>
      </c>
      <c r="B25" t="s">
        <v>77</v>
      </c>
      <c r="C25">
        <v>4.3243410000000004</v>
      </c>
      <c r="D25">
        <v>30</v>
      </c>
      <c r="E25">
        <v>391</v>
      </c>
      <c r="F25">
        <v>8858.3675710000007</v>
      </c>
      <c r="G25" t="s">
        <v>38</v>
      </c>
      <c r="H25">
        <v>84</v>
      </c>
      <c r="I25">
        <v>5</v>
      </c>
      <c r="J25">
        <v>29</v>
      </c>
      <c r="K25">
        <v>7</v>
      </c>
      <c r="L25" t="s">
        <v>36</v>
      </c>
      <c r="M25">
        <v>2.924858</v>
      </c>
      <c r="N25" t="s">
        <v>44</v>
      </c>
      <c r="O25" t="s">
        <v>45</v>
      </c>
      <c r="P25">
        <v>11</v>
      </c>
      <c r="Q25">
        <v>568</v>
      </c>
      <c r="R25">
        <v>29</v>
      </c>
      <c r="S25">
        <v>98.609956999999994</v>
      </c>
      <c r="T25" t="s">
        <v>30</v>
      </c>
      <c r="U25">
        <v>1.342292</v>
      </c>
      <c r="V25" t="s">
        <v>47</v>
      </c>
      <c r="W25" t="s">
        <v>48</v>
      </c>
      <c r="X25">
        <v>196.32944599999999</v>
      </c>
    </row>
    <row r="26" spans="1:24" x14ac:dyDescent="0.35">
      <c r="A26" t="s">
        <v>24</v>
      </c>
      <c r="B26" t="s">
        <v>78</v>
      </c>
      <c r="C26">
        <v>4.1563080000000001</v>
      </c>
      <c r="D26">
        <v>32</v>
      </c>
      <c r="E26">
        <v>209</v>
      </c>
      <c r="F26">
        <v>9049.0778609999998</v>
      </c>
      <c r="G26" t="s">
        <v>55</v>
      </c>
      <c r="H26">
        <v>4</v>
      </c>
      <c r="I26">
        <v>26</v>
      </c>
      <c r="J26">
        <v>2</v>
      </c>
      <c r="K26">
        <v>8</v>
      </c>
      <c r="L26" t="s">
        <v>43</v>
      </c>
      <c r="M26">
        <v>9.7412919999999996</v>
      </c>
      <c r="N26" t="s">
        <v>61</v>
      </c>
      <c r="O26" t="s">
        <v>53</v>
      </c>
      <c r="P26">
        <v>28</v>
      </c>
      <c r="Q26">
        <v>447</v>
      </c>
      <c r="R26">
        <v>3</v>
      </c>
      <c r="S26">
        <v>40.382359999999998</v>
      </c>
      <c r="T26" t="s">
        <v>30</v>
      </c>
      <c r="U26">
        <v>3.6913100000000001</v>
      </c>
      <c r="V26" t="s">
        <v>40</v>
      </c>
      <c r="W26" t="s">
        <v>48</v>
      </c>
      <c r="X26">
        <v>758.72477300000003</v>
      </c>
    </row>
    <row r="27" spans="1:24" x14ac:dyDescent="0.35">
      <c r="A27" t="s">
        <v>24</v>
      </c>
      <c r="B27" t="s">
        <v>79</v>
      </c>
      <c r="C27">
        <v>39.629344000000003</v>
      </c>
      <c r="D27">
        <v>73</v>
      </c>
      <c r="E27">
        <v>142</v>
      </c>
      <c r="F27">
        <v>2174.7770540000001</v>
      </c>
      <c r="G27" t="s">
        <v>55</v>
      </c>
      <c r="H27">
        <v>82</v>
      </c>
      <c r="I27">
        <v>11</v>
      </c>
      <c r="J27">
        <v>52</v>
      </c>
      <c r="K27">
        <v>3</v>
      </c>
      <c r="L27" t="s">
        <v>43</v>
      </c>
      <c r="M27">
        <v>2.231074</v>
      </c>
      <c r="N27" t="s">
        <v>52</v>
      </c>
      <c r="O27" t="s">
        <v>45</v>
      </c>
      <c r="P27">
        <v>19</v>
      </c>
      <c r="Q27">
        <v>934</v>
      </c>
      <c r="R27">
        <v>23</v>
      </c>
      <c r="S27">
        <v>78.280383</v>
      </c>
      <c r="T27" t="s">
        <v>30</v>
      </c>
      <c r="U27">
        <v>3.797231</v>
      </c>
      <c r="V27" t="s">
        <v>31</v>
      </c>
      <c r="W27" t="s">
        <v>32</v>
      </c>
      <c r="X27">
        <v>458.53594600000002</v>
      </c>
    </row>
    <row r="28" spans="1:24" x14ac:dyDescent="0.35">
      <c r="A28" t="s">
        <v>24</v>
      </c>
      <c r="B28" t="s">
        <v>80</v>
      </c>
      <c r="C28">
        <v>97.446946999999994</v>
      </c>
      <c r="D28">
        <v>9</v>
      </c>
      <c r="E28">
        <v>353</v>
      </c>
      <c r="F28">
        <v>3716.4933259999998</v>
      </c>
      <c r="G28" t="s">
        <v>55</v>
      </c>
      <c r="H28">
        <v>59</v>
      </c>
      <c r="I28">
        <v>16</v>
      </c>
      <c r="J28">
        <v>48</v>
      </c>
      <c r="K28">
        <v>4</v>
      </c>
      <c r="L28" t="s">
        <v>27</v>
      </c>
      <c r="M28">
        <v>6.507549</v>
      </c>
      <c r="N28" t="s">
        <v>61</v>
      </c>
      <c r="O28" t="s">
        <v>53</v>
      </c>
      <c r="P28">
        <v>26</v>
      </c>
      <c r="Q28">
        <v>171</v>
      </c>
      <c r="R28">
        <v>4</v>
      </c>
      <c r="S28">
        <v>15.97223</v>
      </c>
      <c r="T28" t="s">
        <v>64</v>
      </c>
      <c r="U28">
        <v>2.1193200000000001</v>
      </c>
      <c r="V28" t="s">
        <v>47</v>
      </c>
      <c r="W28" t="s">
        <v>48</v>
      </c>
      <c r="X28">
        <v>617.86691599999995</v>
      </c>
    </row>
    <row r="29" spans="1:24" x14ac:dyDescent="0.35">
      <c r="A29" t="s">
        <v>57</v>
      </c>
      <c r="B29" t="s">
        <v>81</v>
      </c>
      <c r="C29">
        <v>92.557361</v>
      </c>
      <c r="D29">
        <v>42</v>
      </c>
      <c r="E29">
        <v>352</v>
      </c>
      <c r="F29">
        <v>2686.4572240000002</v>
      </c>
      <c r="G29" t="s">
        <v>38</v>
      </c>
      <c r="H29">
        <v>47</v>
      </c>
      <c r="I29">
        <v>9</v>
      </c>
      <c r="J29">
        <v>62</v>
      </c>
      <c r="K29">
        <v>8</v>
      </c>
      <c r="L29" t="s">
        <v>43</v>
      </c>
      <c r="M29">
        <v>7.4067509999999999</v>
      </c>
      <c r="N29" t="s">
        <v>44</v>
      </c>
      <c r="O29" t="s">
        <v>29</v>
      </c>
      <c r="P29">
        <v>25</v>
      </c>
      <c r="Q29">
        <v>291</v>
      </c>
      <c r="R29">
        <v>4</v>
      </c>
      <c r="S29">
        <v>10.528245</v>
      </c>
      <c r="T29" t="s">
        <v>46</v>
      </c>
      <c r="U29">
        <v>2.864668</v>
      </c>
      <c r="V29" t="s">
        <v>56</v>
      </c>
      <c r="W29" t="s">
        <v>32</v>
      </c>
      <c r="X29">
        <v>762.45918200000006</v>
      </c>
    </row>
    <row r="30" spans="1:24" x14ac:dyDescent="0.35">
      <c r="A30" t="s">
        <v>57</v>
      </c>
      <c r="B30" t="s">
        <v>82</v>
      </c>
      <c r="C30">
        <v>2.397275</v>
      </c>
      <c r="D30">
        <v>12</v>
      </c>
      <c r="E30">
        <v>394</v>
      </c>
      <c r="F30">
        <v>6117.3246150000004</v>
      </c>
      <c r="G30" t="s">
        <v>35</v>
      </c>
      <c r="H30">
        <v>48</v>
      </c>
      <c r="I30">
        <v>15</v>
      </c>
      <c r="J30">
        <v>24</v>
      </c>
      <c r="K30">
        <v>4</v>
      </c>
      <c r="L30" t="s">
        <v>27</v>
      </c>
      <c r="M30">
        <v>9.8981410000000007</v>
      </c>
      <c r="N30" t="s">
        <v>39</v>
      </c>
      <c r="O30" t="s">
        <v>29</v>
      </c>
      <c r="P30">
        <v>13</v>
      </c>
      <c r="Q30">
        <v>171</v>
      </c>
      <c r="R30">
        <v>7</v>
      </c>
      <c r="S30">
        <v>59.429381999999997</v>
      </c>
      <c r="T30" t="s">
        <v>46</v>
      </c>
      <c r="U30">
        <v>0.81575699999999995</v>
      </c>
      <c r="V30" t="s">
        <v>40</v>
      </c>
      <c r="W30" t="s">
        <v>48</v>
      </c>
      <c r="X30">
        <v>123.437028</v>
      </c>
    </row>
    <row r="31" spans="1:24" x14ac:dyDescent="0.35">
      <c r="A31" t="s">
        <v>57</v>
      </c>
      <c r="B31" t="s">
        <v>83</v>
      </c>
      <c r="C31">
        <v>63.447558999999998</v>
      </c>
      <c r="D31">
        <v>3</v>
      </c>
      <c r="E31">
        <v>253</v>
      </c>
      <c r="F31">
        <v>8318.9031950000008</v>
      </c>
      <c r="G31" t="s">
        <v>35</v>
      </c>
      <c r="H31">
        <v>45</v>
      </c>
      <c r="I31">
        <v>5</v>
      </c>
      <c r="J31">
        <v>67</v>
      </c>
      <c r="K31">
        <v>7</v>
      </c>
      <c r="L31" t="s">
        <v>27</v>
      </c>
      <c r="M31">
        <v>8.1009729999999998</v>
      </c>
      <c r="N31" t="s">
        <v>39</v>
      </c>
      <c r="O31" t="s">
        <v>45</v>
      </c>
      <c r="P31">
        <v>16</v>
      </c>
      <c r="Q31">
        <v>329</v>
      </c>
      <c r="R31">
        <v>7</v>
      </c>
      <c r="S31">
        <v>39.292876</v>
      </c>
      <c r="T31" t="s">
        <v>64</v>
      </c>
      <c r="U31">
        <v>3.8780990000000002</v>
      </c>
      <c r="V31" t="s">
        <v>31</v>
      </c>
      <c r="W31" t="s">
        <v>32</v>
      </c>
      <c r="X31">
        <v>764.93537600000002</v>
      </c>
    </row>
    <row r="32" spans="1:24" x14ac:dyDescent="0.35">
      <c r="A32" t="s">
        <v>24</v>
      </c>
      <c r="B32" t="s">
        <v>84</v>
      </c>
      <c r="C32">
        <v>8.0228590000000004</v>
      </c>
      <c r="D32">
        <v>10</v>
      </c>
      <c r="E32">
        <v>327</v>
      </c>
      <c r="F32">
        <v>2766.3423670000002</v>
      </c>
      <c r="G32" t="s">
        <v>55</v>
      </c>
      <c r="H32">
        <v>60</v>
      </c>
      <c r="I32">
        <v>26</v>
      </c>
      <c r="J32">
        <v>35</v>
      </c>
      <c r="K32">
        <v>7</v>
      </c>
      <c r="L32" t="s">
        <v>27</v>
      </c>
      <c r="M32">
        <v>8.9545279999999998</v>
      </c>
      <c r="N32" t="s">
        <v>52</v>
      </c>
      <c r="O32" t="s">
        <v>45</v>
      </c>
      <c r="P32">
        <v>27</v>
      </c>
      <c r="Q32">
        <v>806</v>
      </c>
      <c r="R32">
        <v>30</v>
      </c>
      <c r="S32">
        <v>51.634892999999998</v>
      </c>
      <c r="T32" t="s">
        <v>30</v>
      </c>
      <c r="U32">
        <v>0.965395</v>
      </c>
      <c r="V32" t="s">
        <v>31</v>
      </c>
      <c r="W32" t="s">
        <v>41</v>
      </c>
      <c r="X32">
        <v>880.08098800000005</v>
      </c>
    </row>
    <row r="33" spans="1:24" x14ac:dyDescent="0.35">
      <c r="A33" t="s">
        <v>33</v>
      </c>
      <c r="B33" t="s">
        <v>85</v>
      </c>
      <c r="C33">
        <v>50.847392999999997</v>
      </c>
      <c r="D33">
        <v>28</v>
      </c>
      <c r="E33">
        <v>168</v>
      </c>
      <c r="F33">
        <v>9655.1351030000005</v>
      </c>
      <c r="G33" t="s">
        <v>55</v>
      </c>
      <c r="H33">
        <v>6</v>
      </c>
      <c r="I33">
        <v>17</v>
      </c>
      <c r="J33">
        <v>44</v>
      </c>
      <c r="K33">
        <v>4</v>
      </c>
      <c r="L33" t="s">
        <v>27</v>
      </c>
      <c r="M33">
        <v>2.6796609999999998</v>
      </c>
      <c r="N33" t="s">
        <v>28</v>
      </c>
      <c r="O33" t="s">
        <v>62</v>
      </c>
      <c r="P33">
        <v>24</v>
      </c>
      <c r="Q33">
        <v>461</v>
      </c>
      <c r="R33">
        <v>8</v>
      </c>
      <c r="S33">
        <v>60.251145999999999</v>
      </c>
      <c r="T33" t="s">
        <v>30</v>
      </c>
      <c r="U33">
        <v>2.9889999999999999</v>
      </c>
      <c r="V33" t="s">
        <v>47</v>
      </c>
      <c r="W33" t="s">
        <v>41</v>
      </c>
      <c r="X33">
        <v>609.37920699999995</v>
      </c>
    </row>
    <row r="34" spans="1:24" x14ac:dyDescent="0.35">
      <c r="A34" t="s">
        <v>33</v>
      </c>
      <c r="B34" t="s">
        <v>86</v>
      </c>
      <c r="C34">
        <v>79.209935999999999</v>
      </c>
      <c r="D34">
        <v>43</v>
      </c>
      <c r="E34">
        <v>781</v>
      </c>
      <c r="F34">
        <v>9571.5504870000004</v>
      </c>
      <c r="G34" t="s">
        <v>38</v>
      </c>
      <c r="H34">
        <v>89</v>
      </c>
      <c r="I34">
        <v>13</v>
      </c>
      <c r="J34">
        <v>64</v>
      </c>
      <c r="K34">
        <v>4</v>
      </c>
      <c r="L34" t="s">
        <v>43</v>
      </c>
      <c r="M34">
        <v>6.5991049999999998</v>
      </c>
      <c r="N34" t="s">
        <v>28</v>
      </c>
      <c r="O34" t="s">
        <v>45</v>
      </c>
      <c r="P34">
        <v>30</v>
      </c>
      <c r="Q34">
        <v>737</v>
      </c>
      <c r="R34">
        <v>7</v>
      </c>
      <c r="S34">
        <v>29.692467000000001</v>
      </c>
      <c r="T34" t="s">
        <v>64</v>
      </c>
      <c r="U34">
        <v>1.9460360000000001</v>
      </c>
      <c r="V34" t="s">
        <v>31</v>
      </c>
      <c r="W34" t="s">
        <v>48</v>
      </c>
      <c r="X34">
        <v>761.17390999999998</v>
      </c>
    </row>
    <row r="35" spans="1:24" x14ac:dyDescent="0.35">
      <c r="A35" t="s">
        <v>57</v>
      </c>
      <c r="B35" t="s">
        <v>87</v>
      </c>
      <c r="C35">
        <v>64.795434999999998</v>
      </c>
      <c r="D35">
        <v>63</v>
      </c>
      <c r="E35">
        <v>616</v>
      </c>
      <c r="F35">
        <v>5149.9983499999998</v>
      </c>
      <c r="G35" t="s">
        <v>26</v>
      </c>
      <c r="H35">
        <v>4</v>
      </c>
      <c r="I35">
        <v>17</v>
      </c>
      <c r="J35">
        <v>95</v>
      </c>
      <c r="K35">
        <v>9</v>
      </c>
      <c r="L35" t="s">
        <v>43</v>
      </c>
      <c r="M35">
        <v>4.8582710000000002</v>
      </c>
      <c r="N35" t="s">
        <v>44</v>
      </c>
      <c r="O35" t="s">
        <v>62</v>
      </c>
      <c r="P35">
        <v>1</v>
      </c>
      <c r="Q35">
        <v>251</v>
      </c>
      <c r="R35">
        <v>23</v>
      </c>
      <c r="S35">
        <v>23.853428000000001</v>
      </c>
      <c r="T35" t="s">
        <v>46</v>
      </c>
      <c r="U35">
        <v>3.5410460000000001</v>
      </c>
      <c r="V35" t="s">
        <v>56</v>
      </c>
      <c r="W35" t="s">
        <v>48</v>
      </c>
      <c r="X35">
        <v>371.25529599999999</v>
      </c>
    </row>
    <row r="36" spans="1:24" x14ac:dyDescent="0.35">
      <c r="A36" t="s">
        <v>33</v>
      </c>
      <c r="B36" t="s">
        <v>88</v>
      </c>
      <c r="C36">
        <v>37.467592000000003</v>
      </c>
      <c r="D36">
        <v>96</v>
      </c>
      <c r="E36">
        <v>602</v>
      </c>
      <c r="F36">
        <v>9061.7108960000005</v>
      </c>
      <c r="G36" t="s">
        <v>38</v>
      </c>
      <c r="H36">
        <v>1</v>
      </c>
      <c r="I36">
        <v>26</v>
      </c>
      <c r="J36">
        <v>21</v>
      </c>
      <c r="K36">
        <v>7</v>
      </c>
      <c r="L36" t="s">
        <v>36</v>
      </c>
      <c r="M36">
        <v>1.0194879999999999</v>
      </c>
      <c r="N36" t="s">
        <v>39</v>
      </c>
      <c r="O36" t="s">
        <v>62</v>
      </c>
      <c r="P36">
        <v>4</v>
      </c>
      <c r="Q36">
        <v>452</v>
      </c>
      <c r="R36">
        <v>10</v>
      </c>
      <c r="S36">
        <v>10.754273</v>
      </c>
      <c r="T36" t="s">
        <v>64</v>
      </c>
      <c r="U36">
        <v>0.64660499999999999</v>
      </c>
      <c r="V36" t="s">
        <v>31</v>
      </c>
      <c r="W36" t="s">
        <v>32</v>
      </c>
      <c r="X36">
        <v>510.358</v>
      </c>
    </row>
    <row r="37" spans="1:24" x14ac:dyDescent="0.35">
      <c r="A37" t="s">
        <v>57</v>
      </c>
      <c r="B37" t="s">
        <v>89</v>
      </c>
      <c r="C37">
        <v>84.957786999999996</v>
      </c>
      <c r="D37">
        <v>11</v>
      </c>
      <c r="E37">
        <v>449</v>
      </c>
      <c r="F37">
        <v>6541.3293450000001</v>
      </c>
      <c r="G37" t="s">
        <v>35</v>
      </c>
      <c r="H37">
        <v>42</v>
      </c>
      <c r="I37">
        <v>27</v>
      </c>
      <c r="J37">
        <v>85</v>
      </c>
      <c r="K37">
        <v>8</v>
      </c>
      <c r="L37" t="s">
        <v>43</v>
      </c>
      <c r="M37">
        <v>5.2881900000000002</v>
      </c>
      <c r="N37" t="s">
        <v>39</v>
      </c>
      <c r="O37" t="s">
        <v>50</v>
      </c>
      <c r="P37">
        <v>3</v>
      </c>
      <c r="Q37">
        <v>367</v>
      </c>
      <c r="R37">
        <v>2</v>
      </c>
      <c r="S37">
        <v>58.004787</v>
      </c>
      <c r="T37" t="s">
        <v>64</v>
      </c>
      <c r="U37">
        <v>0.54115400000000002</v>
      </c>
      <c r="V37" t="s">
        <v>56</v>
      </c>
      <c r="W37" t="s">
        <v>41</v>
      </c>
      <c r="X37">
        <v>553.42047100000002</v>
      </c>
    </row>
    <row r="38" spans="1:24" x14ac:dyDescent="0.35">
      <c r="A38" t="s">
        <v>33</v>
      </c>
      <c r="B38" t="s">
        <v>90</v>
      </c>
      <c r="C38">
        <v>9.8130030000000001</v>
      </c>
      <c r="D38">
        <v>34</v>
      </c>
      <c r="E38">
        <v>963</v>
      </c>
      <c r="F38">
        <v>7573.4024579999996</v>
      </c>
      <c r="G38" t="s">
        <v>35</v>
      </c>
      <c r="H38">
        <v>18</v>
      </c>
      <c r="I38">
        <v>23</v>
      </c>
      <c r="J38">
        <v>28</v>
      </c>
      <c r="K38">
        <v>3</v>
      </c>
      <c r="L38" t="s">
        <v>27</v>
      </c>
      <c r="M38">
        <v>2.1079509999999999</v>
      </c>
      <c r="N38" t="s">
        <v>61</v>
      </c>
      <c r="O38" t="s">
        <v>50</v>
      </c>
      <c r="P38">
        <v>26</v>
      </c>
      <c r="Q38">
        <v>671</v>
      </c>
      <c r="R38">
        <v>19</v>
      </c>
      <c r="S38">
        <v>45.531364000000004</v>
      </c>
      <c r="T38" t="s">
        <v>46</v>
      </c>
      <c r="U38">
        <v>3.8055330000000001</v>
      </c>
      <c r="V38" t="s">
        <v>40</v>
      </c>
      <c r="W38" t="s">
        <v>41</v>
      </c>
      <c r="X38">
        <v>403.80897399999998</v>
      </c>
    </row>
    <row r="39" spans="1:24" x14ac:dyDescent="0.35">
      <c r="A39" t="s">
        <v>33</v>
      </c>
      <c r="B39" t="s">
        <v>91</v>
      </c>
      <c r="C39">
        <v>23.399844999999999</v>
      </c>
      <c r="D39">
        <v>5</v>
      </c>
      <c r="E39">
        <v>963</v>
      </c>
      <c r="F39">
        <v>2438.3399300000001</v>
      </c>
      <c r="G39" t="s">
        <v>35</v>
      </c>
      <c r="H39">
        <v>25</v>
      </c>
      <c r="I39">
        <v>8</v>
      </c>
      <c r="J39">
        <v>21</v>
      </c>
      <c r="K39">
        <v>9</v>
      </c>
      <c r="L39" t="s">
        <v>36</v>
      </c>
      <c r="M39">
        <v>1.5326550000000001</v>
      </c>
      <c r="N39" t="s">
        <v>28</v>
      </c>
      <c r="O39" t="s">
        <v>45</v>
      </c>
      <c r="P39">
        <v>24</v>
      </c>
      <c r="Q39">
        <v>867</v>
      </c>
      <c r="R39">
        <v>15</v>
      </c>
      <c r="S39">
        <v>34.343277</v>
      </c>
      <c r="T39" t="s">
        <v>30</v>
      </c>
      <c r="U39">
        <v>2.6102880000000002</v>
      </c>
      <c r="V39" t="s">
        <v>56</v>
      </c>
      <c r="W39" t="s">
        <v>48</v>
      </c>
      <c r="X39">
        <v>183.93296799999999</v>
      </c>
    </row>
    <row r="40" spans="1:24" x14ac:dyDescent="0.35">
      <c r="A40" t="s">
        <v>57</v>
      </c>
      <c r="B40" t="s">
        <v>92</v>
      </c>
      <c r="C40">
        <v>52.075930999999997</v>
      </c>
      <c r="D40">
        <v>75</v>
      </c>
      <c r="E40">
        <v>705</v>
      </c>
      <c r="F40">
        <v>9692.3180400000001</v>
      </c>
      <c r="G40" t="s">
        <v>26</v>
      </c>
      <c r="H40">
        <v>69</v>
      </c>
      <c r="I40">
        <v>1</v>
      </c>
      <c r="J40">
        <v>88</v>
      </c>
      <c r="K40">
        <v>5</v>
      </c>
      <c r="L40" t="s">
        <v>27</v>
      </c>
      <c r="M40">
        <v>9.2359310000000008</v>
      </c>
      <c r="N40" t="s">
        <v>44</v>
      </c>
      <c r="O40" t="s">
        <v>29</v>
      </c>
      <c r="P40">
        <v>10</v>
      </c>
      <c r="Q40">
        <v>841</v>
      </c>
      <c r="R40">
        <v>12</v>
      </c>
      <c r="S40">
        <v>5.9306939999999999</v>
      </c>
      <c r="T40" t="s">
        <v>30</v>
      </c>
      <c r="U40">
        <v>0.61332699999999996</v>
      </c>
      <c r="V40" t="s">
        <v>40</v>
      </c>
      <c r="W40" t="s">
        <v>32</v>
      </c>
      <c r="X40">
        <v>339.67286999999999</v>
      </c>
    </row>
    <row r="41" spans="1:24" x14ac:dyDescent="0.35">
      <c r="A41" t="s">
        <v>33</v>
      </c>
      <c r="B41" t="s">
        <v>93</v>
      </c>
      <c r="C41">
        <v>19.127476999999999</v>
      </c>
      <c r="D41">
        <v>26</v>
      </c>
      <c r="E41">
        <v>176</v>
      </c>
      <c r="F41">
        <v>1912.4656629999999</v>
      </c>
      <c r="G41" t="s">
        <v>35</v>
      </c>
      <c r="H41">
        <v>78</v>
      </c>
      <c r="I41">
        <v>29</v>
      </c>
      <c r="J41">
        <v>34</v>
      </c>
      <c r="K41">
        <v>3</v>
      </c>
      <c r="L41" t="s">
        <v>36</v>
      </c>
      <c r="M41">
        <v>5.5625039999999997</v>
      </c>
      <c r="N41" t="s">
        <v>61</v>
      </c>
      <c r="O41" t="s">
        <v>45</v>
      </c>
      <c r="P41">
        <v>30</v>
      </c>
      <c r="Q41">
        <v>791</v>
      </c>
      <c r="R41">
        <v>6</v>
      </c>
      <c r="S41">
        <v>9.0058070000000008</v>
      </c>
      <c r="T41" t="s">
        <v>46</v>
      </c>
      <c r="U41">
        <v>1.451972</v>
      </c>
      <c r="V41" t="s">
        <v>40</v>
      </c>
      <c r="W41" t="s">
        <v>32</v>
      </c>
      <c r="X41">
        <v>653.67299500000001</v>
      </c>
    </row>
    <row r="42" spans="1:24" x14ac:dyDescent="0.35">
      <c r="A42" t="s">
        <v>33</v>
      </c>
      <c r="B42" t="s">
        <v>94</v>
      </c>
      <c r="C42">
        <v>80.541424000000006</v>
      </c>
      <c r="D42">
        <v>97</v>
      </c>
      <c r="E42">
        <v>933</v>
      </c>
      <c r="F42">
        <v>5724.9593500000001</v>
      </c>
      <c r="G42" t="s">
        <v>35</v>
      </c>
      <c r="H42">
        <v>90</v>
      </c>
      <c r="I42">
        <v>20</v>
      </c>
      <c r="J42">
        <v>39</v>
      </c>
      <c r="K42">
        <v>8</v>
      </c>
      <c r="L42" t="s">
        <v>43</v>
      </c>
      <c r="M42">
        <v>7.2295949999999998</v>
      </c>
      <c r="N42" t="s">
        <v>39</v>
      </c>
      <c r="O42" t="s">
        <v>45</v>
      </c>
      <c r="P42">
        <v>18</v>
      </c>
      <c r="Q42">
        <v>793</v>
      </c>
      <c r="R42">
        <v>1</v>
      </c>
      <c r="S42">
        <v>88.179406999999998</v>
      </c>
      <c r="T42" t="s">
        <v>30</v>
      </c>
      <c r="U42">
        <v>4.2132690000000004</v>
      </c>
      <c r="V42" t="s">
        <v>31</v>
      </c>
      <c r="W42" t="s">
        <v>48</v>
      </c>
      <c r="X42">
        <v>529.80872399999998</v>
      </c>
    </row>
    <row r="43" spans="1:24" x14ac:dyDescent="0.35">
      <c r="A43" t="s">
        <v>33</v>
      </c>
      <c r="B43" t="s">
        <v>95</v>
      </c>
      <c r="C43">
        <v>99.113292000000001</v>
      </c>
      <c r="D43">
        <v>35</v>
      </c>
      <c r="E43">
        <v>556</v>
      </c>
      <c r="F43">
        <v>5521.2052590000003</v>
      </c>
      <c r="G43" t="s">
        <v>35</v>
      </c>
      <c r="H43">
        <v>64</v>
      </c>
      <c r="I43">
        <v>19</v>
      </c>
      <c r="J43">
        <v>38</v>
      </c>
      <c r="K43">
        <v>8</v>
      </c>
      <c r="L43" t="s">
        <v>27</v>
      </c>
      <c r="M43">
        <v>5.7732640000000002</v>
      </c>
      <c r="N43" t="s">
        <v>52</v>
      </c>
      <c r="O43" t="s">
        <v>62</v>
      </c>
      <c r="P43">
        <v>18</v>
      </c>
      <c r="Q43">
        <v>892</v>
      </c>
      <c r="R43">
        <v>7</v>
      </c>
      <c r="S43">
        <v>95.332065</v>
      </c>
      <c r="T43" t="s">
        <v>46</v>
      </c>
      <c r="U43">
        <v>4.5302000000000002E-2</v>
      </c>
      <c r="V43" t="s">
        <v>56</v>
      </c>
      <c r="W43" t="s">
        <v>48</v>
      </c>
      <c r="X43">
        <v>275.52437099999997</v>
      </c>
    </row>
    <row r="44" spans="1:24" x14ac:dyDescent="0.35">
      <c r="A44" t="s">
        <v>33</v>
      </c>
      <c r="B44" t="s">
        <v>96</v>
      </c>
      <c r="C44">
        <v>46.529167999999999</v>
      </c>
      <c r="D44">
        <v>98</v>
      </c>
      <c r="E44">
        <v>155</v>
      </c>
      <c r="F44">
        <v>1839.609426</v>
      </c>
      <c r="G44" t="s">
        <v>35</v>
      </c>
      <c r="H44">
        <v>22</v>
      </c>
      <c r="I44">
        <v>27</v>
      </c>
      <c r="J44">
        <v>57</v>
      </c>
      <c r="K44">
        <v>4</v>
      </c>
      <c r="L44" t="s">
        <v>43</v>
      </c>
      <c r="M44">
        <v>7.5262479999999998</v>
      </c>
      <c r="N44" t="s">
        <v>44</v>
      </c>
      <c r="O44" t="s">
        <v>53</v>
      </c>
      <c r="P44">
        <v>26</v>
      </c>
      <c r="Q44">
        <v>179</v>
      </c>
      <c r="R44">
        <v>7</v>
      </c>
      <c r="S44">
        <v>96.422820999999999</v>
      </c>
      <c r="T44" t="s">
        <v>46</v>
      </c>
      <c r="U44">
        <v>4.9392550000000002</v>
      </c>
      <c r="V44" t="s">
        <v>31</v>
      </c>
      <c r="W44" t="s">
        <v>48</v>
      </c>
      <c r="X44">
        <v>635.65712099999996</v>
      </c>
    </row>
    <row r="45" spans="1:24" x14ac:dyDescent="0.35">
      <c r="A45" t="s">
        <v>24</v>
      </c>
      <c r="B45" t="s">
        <v>97</v>
      </c>
      <c r="C45">
        <v>11.743271999999999</v>
      </c>
      <c r="D45">
        <v>6</v>
      </c>
      <c r="E45">
        <v>598</v>
      </c>
      <c r="F45">
        <v>5737.4255990000001</v>
      </c>
      <c r="G45" t="s">
        <v>38</v>
      </c>
      <c r="H45">
        <v>36</v>
      </c>
      <c r="I45">
        <v>29</v>
      </c>
      <c r="J45">
        <v>85</v>
      </c>
      <c r="K45">
        <v>9</v>
      </c>
      <c r="L45" t="s">
        <v>27</v>
      </c>
      <c r="M45">
        <v>3.6940210000000002</v>
      </c>
      <c r="N45" t="s">
        <v>44</v>
      </c>
      <c r="O45" t="s">
        <v>29</v>
      </c>
      <c r="P45">
        <v>1</v>
      </c>
      <c r="Q45">
        <v>206</v>
      </c>
      <c r="R45">
        <v>23</v>
      </c>
      <c r="S45">
        <v>26.277366000000001</v>
      </c>
      <c r="T45" t="s">
        <v>30</v>
      </c>
      <c r="U45">
        <v>0.372305</v>
      </c>
      <c r="V45" t="s">
        <v>40</v>
      </c>
      <c r="W45" t="s">
        <v>48</v>
      </c>
      <c r="X45">
        <v>716.04412000000002</v>
      </c>
    </row>
    <row r="46" spans="1:24" x14ac:dyDescent="0.35">
      <c r="A46" t="s">
        <v>57</v>
      </c>
      <c r="B46" t="s">
        <v>98</v>
      </c>
      <c r="C46">
        <v>51.355791000000004</v>
      </c>
      <c r="D46">
        <v>34</v>
      </c>
      <c r="E46">
        <v>919</v>
      </c>
      <c r="F46">
        <v>7152.2860490000003</v>
      </c>
      <c r="G46" t="s">
        <v>35</v>
      </c>
      <c r="H46">
        <v>13</v>
      </c>
      <c r="I46">
        <v>19</v>
      </c>
      <c r="J46">
        <v>72</v>
      </c>
      <c r="K46">
        <v>6</v>
      </c>
      <c r="L46" t="s">
        <v>43</v>
      </c>
      <c r="M46">
        <v>7.5774499999999998</v>
      </c>
      <c r="N46" t="s">
        <v>61</v>
      </c>
      <c r="O46" t="s">
        <v>50</v>
      </c>
      <c r="P46">
        <v>7</v>
      </c>
      <c r="Q46">
        <v>834</v>
      </c>
      <c r="R46">
        <v>18</v>
      </c>
      <c r="S46">
        <v>22.554106999999998</v>
      </c>
      <c r="T46" t="s">
        <v>46</v>
      </c>
      <c r="U46">
        <v>2.9626260000000002</v>
      </c>
      <c r="V46" t="s">
        <v>47</v>
      </c>
      <c r="W46" t="s">
        <v>48</v>
      </c>
      <c r="X46">
        <v>610.45326999999997</v>
      </c>
    </row>
    <row r="47" spans="1:24" x14ac:dyDescent="0.35">
      <c r="A47" t="s">
        <v>24</v>
      </c>
      <c r="B47" t="s">
        <v>99</v>
      </c>
      <c r="C47">
        <v>33.784137999999999</v>
      </c>
      <c r="D47">
        <v>1</v>
      </c>
      <c r="E47">
        <v>24</v>
      </c>
      <c r="F47">
        <v>5267.9568079999999</v>
      </c>
      <c r="G47" t="s">
        <v>55</v>
      </c>
      <c r="H47">
        <v>93</v>
      </c>
      <c r="I47">
        <v>7</v>
      </c>
      <c r="J47">
        <v>52</v>
      </c>
      <c r="K47">
        <v>6</v>
      </c>
      <c r="L47" t="s">
        <v>27</v>
      </c>
      <c r="M47">
        <v>5.2151550000000002</v>
      </c>
      <c r="N47" t="s">
        <v>61</v>
      </c>
      <c r="O47" t="s">
        <v>62</v>
      </c>
      <c r="P47">
        <v>25</v>
      </c>
      <c r="Q47">
        <v>794</v>
      </c>
      <c r="R47">
        <v>25</v>
      </c>
      <c r="S47">
        <v>66.312544000000003</v>
      </c>
      <c r="T47" t="s">
        <v>64</v>
      </c>
      <c r="U47">
        <v>3.2196050000000001</v>
      </c>
      <c r="V47" t="s">
        <v>47</v>
      </c>
      <c r="W47" t="s">
        <v>48</v>
      </c>
      <c r="X47">
        <v>495.30569700000001</v>
      </c>
    </row>
    <row r="48" spans="1:24" x14ac:dyDescent="0.35">
      <c r="A48" t="s">
        <v>24</v>
      </c>
      <c r="B48" t="s">
        <v>100</v>
      </c>
      <c r="C48">
        <v>27.082207</v>
      </c>
      <c r="D48">
        <v>75</v>
      </c>
      <c r="E48">
        <v>859</v>
      </c>
      <c r="F48">
        <v>2556.7673610000002</v>
      </c>
      <c r="G48" t="s">
        <v>26</v>
      </c>
      <c r="H48">
        <v>92</v>
      </c>
      <c r="I48">
        <v>29</v>
      </c>
      <c r="J48">
        <v>6</v>
      </c>
      <c r="K48">
        <v>8</v>
      </c>
      <c r="L48" t="s">
        <v>27</v>
      </c>
      <c r="M48">
        <v>4.0709559999999998</v>
      </c>
      <c r="N48" t="s">
        <v>28</v>
      </c>
      <c r="O48" t="s">
        <v>62</v>
      </c>
      <c r="P48">
        <v>18</v>
      </c>
      <c r="Q48">
        <v>870</v>
      </c>
      <c r="R48">
        <v>23</v>
      </c>
      <c r="S48">
        <v>77.322353000000007</v>
      </c>
      <c r="T48" t="s">
        <v>30</v>
      </c>
      <c r="U48">
        <v>3.6486109999999998</v>
      </c>
      <c r="V48" t="s">
        <v>31</v>
      </c>
      <c r="W48" t="s">
        <v>32</v>
      </c>
      <c r="X48">
        <v>380.43593700000002</v>
      </c>
    </row>
    <row r="49" spans="1:24" x14ac:dyDescent="0.35">
      <c r="A49" t="s">
        <v>33</v>
      </c>
      <c r="B49" t="s">
        <v>101</v>
      </c>
      <c r="C49">
        <v>95.712136000000001</v>
      </c>
      <c r="D49">
        <v>93</v>
      </c>
      <c r="E49">
        <v>910</v>
      </c>
      <c r="F49">
        <v>7089.4742500000002</v>
      </c>
      <c r="G49" t="s">
        <v>55</v>
      </c>
      <c r="H49">
        <v>4</v>
      </c>
      <c r="I49">
        <v>15</v>
      </c>
      <c r="J49">
        <v>51</v>
      </c>
      <c r="K49">
        <v>9</v>
      </c>
      <c r="L49" t="s">
        <v>27</v>
      </c>
      <c r="M49">
        <v>8.9787510000000008</v>
      </c>
      <c r="N49" t="s">
        <v>39</v>
      </c>
      <c r="O49" t="s">
        <v>45</v>
      </c>
      <c r="P49">
        <v>10</v>
      </c>
      <c r="Q49">
        <v>964</v>
      </c>
      <c r="R49">
        <v>20</v>
      </c>
      <c r="S49">
        <v>19.712993000000001</v>
      </c>
      <c r="T49" t="s">
        <v>30</v>
      </c>
      <c r="U49">
        <v>0.38057400000000002</v>
      </c>
      <c r="V49" t="s">
        <v>47</v>
      </c>
      <c r="W49" t="s">
        <v>48</v>
      </c>
      <c r="X49">
        <v>581.60235499999999</v>
      </c>
    </row>
    <row r="50" spans="1:24" x14ac:dyDescent="0.35">
      <c r="A50" t="s">
        <v>24</v>
      </c>
      <c r="B50" t="s">
        <v>102</v>
      </c>
      <c r="C50">
        <v>76.035544000000002</v>
      </c>
      <c r="D50">
        <v>28</v>
      </c>
      <c r="E50">
        <v>29</v>
      </c>
      <c r="F50">
        <v>7397.0710049999998</v>
      </c>
      <c r="G50" t="s">
        <v>26</v>
      </c>
      <c r="H50">
        <v>30</v>
      </c>
      <c r="I50">
        <v>16</v>
      </c>
      <c r="J50">
        <v>9</v>
      </c>
      <c r="K50">
        <v>3</v>
      </c>
      <c r="L50" t="s">
        <v>43</v>
      </c>
      <c r="M50">
        <v>7.0958329999999998</v>
      </c>
      <c r="N50" t="s">
        <v>61</v>
      </c>
      <c r="O50" t="s">
        <v>29</v>
      </c>
      <c r="P50">
        <v>9</v>
      </c>
      <c r="Q50">
        <v>109</v>
      </c>
      <c r="R50">
        <v>18</v>
      </c>
      <c r="S50">
        <v>23.126363999999999</v>
      </c>
      <c r="T50" t="s">
        <v>46</v>
      </c>
      <c r="U50">
        <v>1.698113</v>
      </c>
      <c r="V50" t="s">
        <v>47</v>
      </c>
      <c r="W50" t="s">
        <v>32</v>
      </c>
      <c r="X50">
        <v>768.65191400000003</v>
      </c>
    </row>
    <row r="51" spans="1:24" x14ac:dyDescent="0.35">
      <c r="A51" t="s">
        <v>57</v>
      </c>
      <c r="B51" t="s">
        <v>103</v>
      </c>
      <c r="C51">
        <v>78.897913000000003</v>
      </c>
      <c r="D51">
        <v>19</v>
      </c>
      <c r="E51">
        <v>99</v>
      </c>
      <c r="F51">
        <v>8001.6132070000003</v>
      </c>
      <c r="G51" t="s">
        <v>38</v>
      </c>
      <c r="H51">
        <v>97</v>
      </c>
      <c r="I51">
        <v>24</v>
      </c>
      <c r="J51">
        <v>9</v>
      </c>
      <c r="K51">
        <v>6</v>
      </c>
      <c r="L51" t="s">
        <v>43</v>
      </c>
      <c r="M51">
        <v>2.5056210000000001</v>
      </c>
      <c r="N51" t="s">
        <v>44</v>
      </c>
      <c r="O51" t="s">
        <v>50</v>
      </c>
      <c r="P51">
        <v>28</v>
      </c>
      <c r="Q51">
        <v>177</v>
      </c>
      <c r="R51">
        <v>28</v>
      </c>
      <c r="S51">
        <v>14.147815</v>
      </c>
      <c r="T51" t="s">
        <v>64</v>
      </c>
      <c r="U51">
        <v>2.8258139999999998</v>
      </c>
      <c r="V51" t="s">
        <v>47</v>
      </c>
      <c r="W51" t="s">
        <v>48</v>
      </c>
      <c r="X51">
        <v>336.89016900000001</v>
      </c>
    </row>
    <row r="52" spans="1:24" x14ac:dyDescent="0.35">
      <c r="A52" t="s">
        <v>57</v>
      </c>
      <c r="B52" t="s">
        <v>104</v>
      </c>
      <c r="C52">
        <v>14.203484</v>
      </c>
      <c r="D52">
        <v>91</v>
      </c>
      <c r="E52">
        <v>633</v>
      </c>
      <c r="F52">
        <v>5910.8853900000004</v>
      </c>
      <c r="G52" t="s">
        <v>35</v>
      </c>
      <c r="H52">
        <v>31</v>
      </c>
      <c r="I52">
        <v>23</v>
      </c>
      <c r="J52">
        <v>82</v>
      </c>
      <c r="K52">
        <v>10</v>
      </c>
      <c r="L52" t="s">
        <v>36</v>
      </c>
      <c r="M52">
        <v>6.2478610000000003</v>
      </c>
      <c r="N52" t="s">
        <v>61</v>
      </c>
      <c r="O52" t="s">
        <v>50</v>
      </c>
      <c r="P52">
        <v>20</v>
      </c>
      <c r="Q52">
        <v>306</v>
      </c>
      <c r="R52">
        <v>21</v>
      </c>
      <c r="S52">
        <v>45.178758000000002</v>
      </c>
      <c r="T52" t="s">
        <v>46</v>
      </c>
      <c r="U52">
        <v>4.7548009999999996</v>
      </c>
      <c r="V52" t="s">
        <v>47</v>
      </c>
      <c r="W52" t="s">
        <v>32</v>
      </c>
      <c r="X52">
        <v>496.24865</v>
      </c>
    </row>
    <row r="53" spans="1:24" x14ac:dyDescent="0.35">
      <c r="A53" t="s">
        <v>24</v>
      </c>
      <c r="B53" t="s">
        <v>105</v>
      </c>
      <c r="C53">
        <v>26.700761</v>
      </c>
      <c r="D53">
        <v>61</v>
      </c>
      <c r="E53">
        <v>154</v>
      </c>
      <c r="F53">
        <v>9866.4654580000006</v>
      </c>
      <c r="G53" t="s">
        <v>55</v>
      </c>
      <c r="H53">
        <v>100</v>
      </c>
      <c r="I53">
        <v>4</v>
      </c>
      <c r="J53">
        <v>52</v>
      </c>
      <c r="K53">
        <v>1</v>
      </c>
      <c r="L53" t="s">
        <v>36</v>
      </c>
      <c r="M53">
        <v>4.7830009999999996</v>
      </c>
      <c r="N53" t="s">
        <v>44</v>
      </c>
      <c r="O53" t="s">
        <v>53</v>
      </c>
      <c r="P53">
        <v>18</v>
      </c>
      <c r="Q53">
        <v>673</v>
      </c>
      <c r="R53">
        <v>28</v>
      </c>
      <c r="S53">
        <v>14.190327999999999</v>
      </c>
      <c r="T53" t="s">
        <v>30</v>
      </c>
      <c r="U53">
        <v>1.7729509999999999</v>
      </c>
      <c r="V53" t="s">
        <v>31</v>
      </c>
      <c r="W53" t="s">
        <v>48</v>
      </c>
      <c r="X53">
        <v>694.98231799999996</v>
      </c>
    </row>
    <row r="54" spans="1:24" x14ac:dyDescent="0.35">
      <c r="A54" t="s">
        <v>33</v>
      </c>
      <c r="B54" t="s">
        <v>106</v>
      </c>
      <c r="C54">
        <v>98.031829999999999</v>
      </c>
      <c r="D54">
        <v>1</v>
      </c>
      <c r="E54">
        <v>820</v>
      </c>
      <c r="F54">
        <v>9435.7626089999994</v>
      </c>
      <c r="G54" t="s">
        <v>55</v>
      </c>
      <c r="H54">
        <v>64</v>
      </c>
      <c r="I54">
        <v>11</v>
      </c>
      <c r="J54">
        <v>11</v>
      </c>
      <c r="K54">
        <v>1</v>
      </c>
      <c r="L54" t="s">
        <v>27</v>
      </c>
      <c r="M54">
        <v>8.6310520000000004</v>
      </c>
      <c r="N54" t="s">
        <v>39</v>
      </c>
      <c r="O54" t="s">
        <v>29</v>
      </c>
      <c r="P54">
        <v>10</v>
      </c>
      <c r="Q54">
        <v>727</v>
      </c>
      <c r="R54">
        <v>27</v>
      </c>
      <c r="S54">
        <v>9.1668489999999991</v>
      </c>
      <c r="T54" t="s">
        <v>30</v>
      </c>
      <c r="U54">
        <v>2.1224720000000001</v>
      </c>
      <c r="V54" t="s">
        <v>40</v>
      </c>
      <c r="W54" t="s">
        <v>41</v>
      </c>
      <c r="X54">
        <v>602.89849900000002</v>
      </c>
    </row>
    <row r="55" spans="1:24" x14ac:dyDescent="0.35">
      <c r="A55" t="s">
        <v>33</v>
      </c>
      <c r="B55" t="s">
        <v>107</v>
      </c>
      <c r="C55">
        <v>30.341470999999999</v>
      </c>
      <c r="D55">
        <v>93</v>
      </c>
      <c r="E55">
        <v>242</v>
      </c>
      <c r="F55">
        <v>8232.3348289999994</v>
      </c>
      <c r="G55" t="s">
        <v>55</v>
      </c>
      <c r="H55">
        <v>96</v>
      </c>
      <c r="I55">
        <v>25</v>
      </c>
      <c r="J55">
        <v>54</v>
      </c>
      <c r="K55">
        <v>3</v>
      </c>
      <c r="L55" t="s">
        <v>27</v>
      </c>
      <c r="M55">
        <v>1.013487</v>
      </c>
      <c r="N55" t="s">
        <v>39</v>
      </c>
      <c r="O55" t="s">
        <v>50</v>
      </c>
      <c r="P55">
        <v>1</v>
      </c>
      <c r="Q55">
        <v>631</v>
      </c>
      <c r="R55">
        <v>17</v>
      </c>
      <c r="S55">
        <v>83.344059000000001</v>
      </c>
      <c r="T55" t="s">
        <v>30</v>
      </c>
      <c r="U55">
        <v>1.4103479999999999</v>
      </c>
      <c r="V55" t="s">
        <v>40</v>
      </c>
      <c r="W55" t="s">
        <v>32</v>
      </c>
      <c r="X55">
        <v>750.737841</v>
      </c>
    </row>
    <row r="56" spans="1:24" x14ac:dyDescent="0.35">
      <c r="A56" t="s">
        <v>24</v>
      </c>
      <c r="B56" t="s">
        <v>108</v>
      </c>
      <c r="C56">
        <v>31.146242999999998</v>
      </c>
      <c r="D56">
        <v>11</v>
      </c>
      <c r="E56">
        <v>622</v>
      </c>
      <c r="F56">
        <v>6088.0214800000003</v>
      </c>
      <c r="G56" t="s">
        <v>26</v>
      </c>
      <c r="H56">
        <v>33</v>
      </c>
      <c r="I56">
        <v>22</v>
      </c>
      <c r="J56">
        <v>61</v>
      </c>
      <c r="K56">
        <v>3</v>
      </c>
      <c r="L56" t="s">
        <v>27</v>
      </c>
      <c r="M56">
        <v>4.3051029999999999</v>
      </c>
      <c r="N56" t="s">
        <v>39</v>
      </c>
      <c r="O56" t="s">
        <v>45</v>
      </c>
      <c r="P56">
        <v>26</v>
      </c>
      <c r="Q56">
        <v>497</v>
      </c>
      <c r="R56">
        <v>29</v>
      </c>
      <c r="S56">
        <v>30.186022999999999</v>
      </c>
      <c r="T56" t="s">
        <v>64</v>
      </c>
      <c r="U56">
        <v>2.4787720000000002</v>
      </c>
      <c r="V56" t="s">
        <v>31</v>
      </c>
      <c r="W56" t="s">
        <v>32</v>
      </c>
      <c r="X56">
        <v>814.06999699999994</v>
      </c>
    </row>
    <row r="57" spans="1:24" x14ac:dyDescent="0.35">
      <c r="A57" t="s">
        <v>24</v>
      </c>
      <c r="B57" t="s">
        <v>109</v>
      </c>
      <c r="C57">
        <v>79.855058</v>
      </c>
      <c r="D57">
        <v>16</v>
      </c>
      <c r="E57">
        <v>701</v>
      </c>
      <c r="F57">
        <v>2925.67517</v>
      </c>
      <c r="G57" t="s">
        <v>55</v>
      </c>
      <c r="H57">
        <v>97</v>
      </c>
      <c r="I57">
        <v>11</v>
      </c>
      <c r="J57">
        <v>11</v>
      </c>
      <c r="K57">
        <v>5</v>
      </c>
      <c r="L57" t="s">
        <v>36</v>
      </c>
      <c r="M57">
        <v>5.0143649999999997</v>
      </c>
      <c r="N57" t="s">
        <v>61</v>
      </c>
      <c r="O57" t="s">
        <v>50</v>
      </c>
      <c r="P57">
        <v>27</v>
      </c>
      <c r="Q57">
        <v>918</v>
      </c>
      <c r="R57">
        <v>5</v>
      </c>
      <c r="S57">
        <v>30.323544999999999</v>
      </c>
      <c r="T57" t="s">
        <v>46</v>
      </c>
      <c r="U57">
        <v>4.5489199999999999</v>
      </c>
      <c r="V57" t="s">
        <v>56</v>
      </c>
      <c r="W57" t="s">
        <v>32</v>
      </c>
      <c r="X57">
        <v>323.01292799999999</v>
      </c>
    </row>
    <row r="58" spans="1:24" x14ac:dyDescent="0.35">
      <c r="A58" t="s">
        <v>33</v>
      </c>
      <c r="B58" t="s">
        <v>110</v>
      </c>
      <c r="C58">
        <v>20.986386</v>
      </c>
      <c r="D58">
        <v>90</v>
      </c>
      <c r="E58">
        <v>93</v>
      </c>
      <c r="F58">
        <v>4767.0204839999997</v>
      </c>
      <c r="G58" t="s">
        <v>26</v>
      </c>
      <c r="H58">
        <v>25</v>
      </c>
      <c r="I58">
        <v>23</v>
      </c>
      <c r="J58">
        <v>83</v>
      </c>
      <c r="K58">
        <v>5</v>
      </c>
      <c r="L58" t="s">
        <v>43</v>
      </c>
      <c r="M58">
        <v>1.77443</v>
      </c>
      <c r="N58" t="s">
        <v>39</v>
      </c>
      <c r="O58" t="s">
        <v>29</v>
      </c>
      <c r="P58">
        <v>24</v>
      </c>
      <c r="Q58">
        <v>826</v>
      </c>
      <c r="R58">
        <v>28</v>
      </c>
      <c r="S58">
        <v>12.836285</v>
      </c>
      <c r="T58" t="s">
        <v>64</v>
      </c>
      <c r="U58">
        <v>1.1737550000000001</v>
      </c>
      <c r="V58" t="s">
        <v>40</v>
      </c>
      <c r="W58" t="s">
        <v>32</v>
      </c>
      <c r="X58">
        <v>832.21080900000004</v>
      </c>
    </row>
    <row r="59" spans="1:24" x14ac:dyDescent="0.35">
      <c r="A59" t="s">
        <v>24</v>
      </c>
      <c r="B59" t="s">
        <v>111</v>
      </c>
      <c r="C59">
        <v>49.263204999999999</v>
      </c>
      <c r="D59">
        <v>65</v>
      </c>
      <c r="E59">
        <v>227</v>
      </c>
      <c r="F59">
        <v>1605.8669</v>
      </c>
      <c r="G59" t="s">
        <v>38</v>
      </c>
      <c r="H59">
        <v>5</v>
      </c>
      <c r="I59">
        <v>18</v>
      </c>
      <c r="J59">
        <v>51</v>
      </c>
      <c r="K59">
        <v>1</v>
      </c>
      <c r="L59" t="s">
        <v>27</v>
      </c>
      <c r="M59">
        <v>9.1605589999999992</v>
      </c>
      <c r="N59" t="s">
        <v>61</v>
      </c>
      <c r="O59" t="s">
        <v>50</v>
      </c>
      <c r="P59">
        <v>21</v>
      </c>
      <c r="Q59">
        <v>588</v>
      </c>
      <c r="R59">
        <v>25</v>
      </c>
      <c r="S59">
        <v>67.779623000000001</v>
      </c>
      <c r="T59" t="s">
        <v>30</v>
      </c>
      <c r="U59">
        <v>2.5111750000000002</v>
      </c>
      <c r="V59" t="s">
        <v>47</v>
      </c>
      <c r="W59" t="s">
        <v>48</v>
      </c>
      <c r="X59">
        <v>482.191239</v>
      </c>
    </row>
    <row r="60" spans="1:24" x14ac:dyDescent="0.35">
      <c r="A60" t="s">
        <v>33</v>
      </c>
      <c r="B60" t="s">
        <v>112</v>
      </c>
      <c r="C60">
        <v>59.841560999999999</v>
      </c>
      <c r="D60">
        <v>81</v>
      </c>
      <c r="E60">
        <v>896</v>
      </c>
      <c r="F60">
        <v>2021.1498099999999</v>
      </c>
      <c r="G60" t="s">
        <v>26</v>
      </c>
      <c r="H60">
        <v>10</v>
      </c>
      <c r="I60">
        <v>5</v>
      </c>
      <c r="J60">
        <v>44</v>
      </c>
      <c r="K60">
        <v>7</v>
      </c>
      <c r="L60" t="s">
        <v>36</v>
      </c>
      <c r="M60">
        <v>4.9384389999999998</v>
      </c>
      <c r="N60" t="s">
        <v>28</v>
      </c>
      <c r="O60" t="s">
        <v>50</v>
      </c>
      <c r="P60">
        <v>18</v>
      </c>
      <c r="Q60">
        <v>396</v>
      </c>
      <c r="R60">
        <v>7</v>
      </c>
      <c r="S60">
        <v>65.047415000000001</v>
      </c>
      <c r="T60" t="s">
        <v>46</v>
      </c>
      <c r="U60">
        <v>1.730375</v>
      </c>
      <c r="V60" t="s">
        <v>31</v>
      </c>
      <c r="W60" t="s">
        <v>32</v>
      </c>
      <c r="X60">
        <v>110.364335</v>
      </c>
    </row>
    <row r="61" spans="1:24" x14ac:dyDescent="0.35">
      <c r="A61" t="s">
        <v>57</v>
      </c>
      <c r="B61" t="s">
        <v>113</v>
      </c>
      <c r="C61">
        <v>63.828398</v>
      </c>
      <c r="D61">
        <v>30</v>
      </c>
      <c r="E61">
        <v>484</v>
      </c>
      <c r="F61">
        <v>1061.6185230000001</v>
      </c>
      <c r="G61" t="s">
        <v>26</v>
      </c>
      <c r="H61">
        <v>100</v>
      </c>
      <c r="I61">
        <v>16</v>
      </c>
      <c r="J61">
        <v>26</v>
      </c>
      <c r="K61">
        <v>7</v>
      </c>
      <c r="L61" t="s">
        <v>27</v>
      </c>
      <c r="M61">
        <v>7.293723</v>
      </c>
      <c r="N61" t="s">
        <v>39</v>
      </c>
      <c r="O61" t="s">
        <v>45</v>
      </c>
      <c r="P61">
        <v>11</v>
      </c>
      <c r="Q61">
        <v>176</v>
      </c>
      <c r="R61">
        <v>4</v>
      </c>
      <c r="S61">
        <v>1.9007620000000001</v>
      </c>
      <c r="T61" t="s">
        <v>46</v>
      </c>
      <c r="U61">
        <v>0.44719399999999998</v>
      </c>
      <c r="V61" t="s">
        <v>40</v>
      </c>
      <c r="W61" t="s">
        <v>48</v>
      </c>
      <c r="X61">
        <v>312.574274</v>
      </c>
    </row>
    <row r="62" spans="1:24" x14ac:dyDescent="0.35">
      <c r="A62" t="s">
        <v>33</v>
      </c>
      <c r="B62" t="s">
        <v>114</v>
      </c>
      <c r="C62">
        <v>17.028027999999999</v>
      </c>
      <c r="D62">
        <v>16</v>
      </c>
      <c r="E62">
        <v>380</v>
      </c>
      <c r="F62">
        <v>8864.0843499999992</v>
      </c>
      <c r="G62" t="s">
        <v>35</v>
      </c>
      <c r="H62">
        <v>41</v>
      </c>
      <c r="I62">
        <v>27</v>
      </c>
      <c r="J62">
        <v>72</v>
      </c>
      <c r="K62">
        <v>8</v>
      </c>
      <c r="L62" t="s">
        <v>43</v>
      </c>
      <c r="M62">
        <v>4.3813680000000002</v>
      </c>
      <c r="N62" t="s">
        <v>52</v>
      </c>
      <c r="O62" t="s">
        <v>29</v>
      </c>
      <c r="P62">
        <v>29</v>
      </c>
      <c r="Q62">
        <v>929</v>
      </c>
      <c r="R62">
        <v>24</v>
      </c>
      <c r="S62">
        <v>87.213058000000004</v>
      </c>
      <c r="T62" t="s">
        <v>46</v>
      </c>
      <c r="U62">
        <v>2.853091</v>
      </c>
      <c r="V62" t="s">
        <v>47</v>
      </c>
      <c r="W62" t="s">
        <v>48</v>
      </c>
      <c r="X62">
        <v>430.16909700000002</v>
      </c>
    </row>
    <row r="63" spans="1:24" x14ac:dyDescent="0.35">
      <c r="A63" t="s">
        <v>24</v>
      </c>
      <c r="B63" t="s">
        <v>115</v>
      </c>
      <c r="C63">
        <v>52.028750000000002</v>
      </c>
      <c r="D63">
        <v>23</v>
      </c>
      <c r="E63">
        <v>117</v>
      </c>
      <c r="F63">
        <v>6885.5893509999996</v>
      </c>
      <c r="G63" t="s">
        <v>38</v>
      </c>
      <c r="H63">
        <v>32</v>
      </c>
      <c r="I63">
        <v>23</v>
      </c>
      <c r="J63">
        <v>36</v>
      </c>
      <c r="K63">
        <v>7</v>
      </c>
      <c r="L63" t="s">
        <v>43</v>
      </c>
      <c r="M63">
        <v>9.0303400000000007</v>
      </c>
      <c r="N63" t="s">
        <v>52</v>
      </c>
      <c r="O63" t="s">
        <v>45</v>
      </c>
      <c r="P63">
        <v>14</v>
      </c>
      <c r="Q63">
        <v>480</v>
      </c>
      <c r="R63">
        <v>12</v>
      </c>
      <c r="S63">
        <v>78.702393999999998</v>
      </c>
      <c r="T63" t="s">
        <v>46</v>
      </c>
      <c r="U63">
        <v>4.3674710000000001</v>
      </c>
      <c r="V63" t="s">
        <v>40</v>
      </c>
      <c r="W63" t="s">
        <v>48</v>
      </c>
      <c r="X63">
        <v>164.36652799999999</v>
      </c>
    </row>
    <row r="64" spans="1:24" x14ac:dyDescent="0.35">
      <c r="A64" t="s">
        <v>57</v>
      </c>
      <c r="B64" t="s">
        <v>116</v>
      </c>
      <c r="C64">
        <v>72.796353999999994</v>
      </c>
      <c r="D64">
        <v>89</v>
      </c>
      <c r="E64">
        <v>270</v>
      </c>
      <c r="F64">
        <v>3899.746834</v>
      </c>
      <c r="G64" t="s">
        <v>38</v>
      </c>
      <c r="H64">
        <v>86</v>
      </c>
      <c r="I64">
        <v>2</v>
      </c>
      <c r="J64">
        <v>40</v>
      </c>
      <c r="K64">
        <v>7</v>
      </c>
      <c r="L64" t="s">
        <v>43</v>
      </c>
      <c r="M64">
        <v>7.2917009999999998</v>
      </c>
      <c r="N64" t="s">
        <v>61</v>
      </c>
      <c r="O64" t="s">
        <v>29</v>
      </c>
      <c r="P64">
        <v>13</v>
      </c>
      <c r="Q64">
        <v>751</v>
      </c>
      <c r="R64">
        <v>14</v>
      </c>
      <c r="S64">
        <v>21.048642999999998</v>
      </c>
      <c r="T64" t="s">
        <v>64</v>
      </c>
      <c r="U64">
        <v>1.874001</v>
      </c>
      <c r="V64" t="s">
        <v>56</v>
      </c>
      <c r="W64" t="s">
        <v>41</v>
      </c>
      <c r="X64">
        <v>320.84651600000001</v>
      </c>
    </row>
    <row r="65" spans="1:24" x14ac:dyDescent="0.35">
      <c r="A65" t="s">
        <v>33</v>
      </c>
      <c r="B65" t="s">
        <v>117</v>
      </c>
      <c r="C65">
        <v>13.017377</v>
      </c>
      <c r="D65">
        <v>55</v>
      </c>
      <c r="E65">
        <v>246</v>
      </c>
      <c r="F65">
        <v>4256.9491410000001</v>
      </c>
      <c r="G65" t="s">
        <v>26</v>
      </c>
      <c r="H65">
        <v>54</v>
      </c>
      <c r="I65">
        <v>19</v>
      </c>
      <c r="J65">
        <v>10</v>
      </c>
      <c r="K65">
        <v>4</v>
      </c>
      <c r="L65" t="s">
        <v>36</v>
      </c>
      <c r="M65">
        <v>2.4579339999999998</v>
      </c>
      <c r="N65" t="s">
        <v>28</v>
      </c>
      <c r="O65" t="s">
        <v>53</v>
      </c>
      <c r="P65">
        <v>18</v>
      </c>
      <c r="Q65">
        <v>736</v>
      </c>
      <c r="R65">
        <v>10</v>
      </c>
      <c r="S65">
        <v>20.075004</v>
      </c>
      <c r="T65" t="s">
        <v>30</v>
      </c>
      <c r="U65">
        <v>3.6328429999999998</v>
      </c>
      <c r="V65" t="s">
        <v>56</v>
      </c>
      <c r="W65" t="s">
        <v>48</v>
      </c>
      <c r="X65">
        <v>687.28617799999995</v>
      </c>
    </row>
    <row r="66" spans="1:24" x14ac:dyDescent="0.35">
      <c r="A66" t="s">
        <v>33</v>
      </c>
      <c r="B66" t="s">
        <v>118</v>
      </c>
      <c r="C66">
        <v>89.634096</v>
      </c>
      <c r="D66">
        <v>11</v>
      </c>
      <c r="E66">
        <v>134</v>
      </c>
      <c r="F66">
        <v>8458.7308780000003</v>
      </c>
      <c r="G66" t="s">
        <v>35</v>
      </c>
      <c r="H66">
        <v>73</v>
      </c>
      <c r="I66">
        <v>27</v>
      </c>
      <c r="J66">
        <v>75</v>
      </c>
      <c r="K66">
        <v>6</v>
      </c>
      <c r="L66" t="s">
        <v>43</v>
      </c>
      <c r="M66">
        <v>4.5853529999999996</v>
      </c>
      <c r="N66" t="s">
        <v>39</v>
      </c>
      <c r="O66" t="s">
        <v>50</v>
      </c>
      <c r="P66">
        <v>17</v>
      </c>
      <c r="Q66">
        <v>328</v>
      </c>
      <c r="R66">
        <v>6</v>
      </c>
      <c r="S66">
        <v>8.6930420000000002</v>
      </c>
      <c r="T66" t="s">
        <v>46</v>
      </c>
      <c r="U66">
        <v>0.15948599999999999</v>
      </c>
      <c r="V66" t="s">
        <v>40</v>
      </c>
      <c r="W66" t="s">
        <v>41</v>
      </c>
      <c r="X66">
        <v>771.22508500000004</v>
      </c>
    </row>
    <row r="67" spans="1:24" x14ac:dyDescent="0.35">
      <c r="A67" t="s">
        <v>33</v>
      </c>
      <c r="B67" t="s">
        <v>119</v>
      </c>
      <c r="C67">
        <v>33.697716999999997</v>
      </c>
      <c r="D67">
        <v>72</v>
      </c>
      <c r="E67">
        <v>457</v>
      </c>
      <c r="F67">
        <v>8354.5796859999991</v>
      </c>
      <c r="G67" t="s">
        <v>55</v>
      </c>
      <c r="H67">
        <v>57</v>
      </c>
      <c r="I67">
        <v>24</v>
      </c>
      <c r="J67">
        <v>54</v>
      </c>
      <c r="K67">
        <v>8</v>
      </c>
      <c r="L67" t="s">
        <v>43</v>
      </c>
      <c r="M67">
        <v>6.5805410000000002</v>
      </c>
      <c r="N67" t="s">
        <v>44</v>
      </c>
      <c r="O67" t="s">
        <v>45</v>
      </c>
      <c r="P67">
        <v>16</v>
      </c>
      <c r="Q67">
        <v>358</v>
      </c>
      <c r="R67">
        <v>21</v>
      </c>
      <c r="S67">
        <v>1.5972230000000001</v>
      </c>
      <c r="T67" t="s">
        <v>46</v>
      </c>
      <c r="U67">
        <v>4.9110959999999997</v>
      </c>
      <c r="V67" t="s">
        <v>47</v>
      </c>
      <c r="W67" t="s">
        <v>41</v>
      </c>
      <c r="X67">
        <v>555.859104</v>
      </c>
    </row>
    <row r="68" spans="1:24" x14ac:dyDescent="0.35">
      <c r="A68" t="s">
        <v>33</v>
      </c>
      <c r="B68" t="s">
        <v>120</v>
      </c>
      <c r="C68">
        <v>26.034870000000002</v>
      </c>
      <c r="D68">
        <v>52</v>
      </c>
      <c r="E68">
        <v>704</v>
      </c>
      <c r="F68">
        <v>8367.7216179999996</v>
      </c>
      <c r="G68" t="s">
        <v>35</v>
      </c>
      <c r="H68">
        <v>13</v>
      </c>
      <c r="I68">
        <v>17</v>
      </c>
      <c r="J68">
        <v>19</v>
      </c>
      <c r="K68">
        <v>8</v>
      </c>
      <c r="L68" t="s">
        <v>36</v>
      </c>
      <c r="M68">
        <v>2.2161430000000002</v>
      </c>
      <c r="N68" t="s">
        <v>44</v>
      </c>
      <c r="O68" t="s">
        <v>45</v>
      </c>
      <c r="P68">
        <v>24</v>
      </c>
      <c r="Q68">
        <v>867</v>
      </c>
      <c r="R68">
        <v>28</v>
      </c>
      <c r="S68">
        <v>42.084437000000001</v>
      </c>
      <c r="T68" t="s">
        <v>46</v>
      </c>
      <c r="U68">
        <v>3.4480629999999999</v>
      </c>
      <c r="V68" t="s">
        <v>31</v>
      </c>
      <c r="W68" t="s">
        <v>48</v>
      </c>
      <c r="X68">
        <v>393.84334899999999</v>
      </c>
    </row>
    <row r="69" spans="1:24" x14ac:dyDescent="0.35">
      <c r="A69" t="s">
        <v>33</v>
      </c>
      <c r="B69" t="s">
        <v>121</v>
      </c>
      <c r="C69">
        <v>87.755431999999999</v>
      </c>
      <c r="D69">
        <v>16</v>
      </c>
      <c r="E69">
        <v>513</v>
      </c>
      <c r="F69">
        <v>9473.7980329999991</v>
      </c>
      <c r="G69" t="s">
        <v>38</v>
      </c>
      <c r="H69">
        <v>12</v>
      </c>
      <c r="I69">
        <v>9</v>
      </c>
      <c r="J69">
        <v>71</v>
      </c>
      <c r="K69">
        <v>9</v>
      </c>
      <c r="L69" t="s">
        <v>43</v>
      </c>
      <c r="M69">
        <v>9.1478120000000001</v>
      </c>
      <c r="N69" t="s">
        <v>39</v>
      </c>
      <c r="O69" t="s">
        <v>29</v>
      </c>
      <c r="P69">
        <v>10</v>
      </c>
      <c r="Q69">
        <v>198</v>
      </c>
      <c r="R69">
        <v>11</v>
      </c>
      <c r="S69">
        <v>7.0578760000000003</v>
      </c>
      <c r="T69" t="s">
        <v>64</v>
      </c>
      <c r="U69">
        <v>0.13195499999999999</v>
      </c>
      <c r="V69" t="s">
        <v>56</v>
      </c>
      <c r="W69" t="s">
        <v>41</v>
      </c>
      <c r="X69">
        <v>169.27180100000001</v>
      </c>
    </row>
    <row r="70" spans="1:24" x14ac:dyDescent="0.35">
      <c r="A70" t="s">
        <v>24</v>
      </c>
      <c r="B70" t="s">
        <v>122</v>
      </c>
      <c r="C70">
        <v>37.931812000000001</v>
      </c>
      <c r="D70">
        <v>29</v>
      </c>
      <c r="E70">
        <v>163</v>
      </c>
      <c r="F70">
        <v>3550.218433</v>
      </c>
      <c r="G70" t="s">
        <v>26</v>
      </c>
      <c r="H70">
        <v>0</v>
      </c>
      <c r="I70">
        <v>8</v>
      </c>
      <c r="J70">
        <v>58</v>
      </c>
      <c r="K70">
        <v>8</v>
      </c>
      <c r="L70" t="s">
        <v>27</v>
      </c>
      <c r="M70">
        <v>1.1942520000000001</v>
      </c>
      <c r="N70" t="s">
        <v>61</v>
      </c>
      <c r="O70" t="s">
        <v>53</v>
      </c>
      <c r="P70">
        <v>2</v>
      </c>
      <c r="Q70">
        <v>375</v>
      </c>
      <c r="R70">
        <v>18</v>
      </c>
      <c r="S70">
        <v>97.113581999999994</v>
      </c>
      <c r="T70" t="s">
        <v>46</v>
      </c>
      <c r="U70">
        <v>1.983468</v>
      </c>
      <c r="V70" t="s">
        <v>47</v>
      </c>
      <c r="W70" t="s">
        <v>48</v>
      </c>
      <c r="X70">
        <v>299.70630299999999</v>
      </c>
    </row>
    <row r="71" spans="1:24" x14ac:dyDescent="0.35">
      <c r="A71" t="s">
        <v>33</v>
      </c>
      <c r="B71" t="s">
        <v>123</v>
      </c>
      <c r="C71">
        <v>54.865529000000002</v>
      </c>
      <c r="D71">
        <v>62</v>
      </c>
      <c r="E71">
        <v>511</v>
      </c>
      <c r="F71">
        <v>1752.381087</v>
      </c>
      <c r="G71" t="s">
        <v>26</v>
      </c>
      <c r="H71">
        <v>95</v>
      </c>
      <c r="I71">
        <v>1</v>
      </c>
      <c r="J71">
        <v>27</v>
      </c>
      <c r="K71">
        <v>3</v>
      </c>
      <c r="L71" t="s">
        <v>27</v>
      </c>
      <c r="M71">
        <v>9.7052870000000002</v>
      </c>
      <c r="N71" t="s">
        <v>52</v>
      </c>
      <c r="O71" t="s">
        <v>45</v>
      </c>
      <c r="P71">
        <v>9</v>
      </c>
      <c r="Q71">
        <v>862</v>
      </c>
      <c r="R71">
        <v>7</v>
      </c>
      <c r="S71">
        <v>77.627765999999994</v>
      </c>
      <c r="T71" t="s">
        <v>30</v>
      </c>
      <c r="U71">
        <v>1.3623879999999999</v>
      </c>
      <c r="V71" t="s">
        <v>40</v>
      </c>
      <c r="W71" t="s">
        <v>48</v>
      </c>
      <c r="X71">
        <v>207.663206</v>
      </c>
    </row>
    <row r="72" spans="1:24" x14ac:dyDescent="0.35">
      <c r="A72" t="s">
        <v>24</v>
      </c>
      <c r="B72" t="s">
        <v>124</v>
      </c>
      <c r="C72">
        <v>47.914541999999997</v>
      </c>
      <c r="D72">
        <v>90</v>
      </c>
      <c r="E72">
        <v>32</v>
      </c>
      <c r="F72">
        <v>7014.8879870000001</v>
      </c>
      <c r="G72" t="s">
        <v>35</v>
      </c>
      <c r="H72">
        <v>10</v>
      </c>
      <c r="I72">
        <v>12</v>
      </c>
      <c r="J72">
        <v>22</v>
      </c>
      <c r="K72">
        <v>4</v>
      </c>
      <c r="L72" t="s">
        <v>27</v>
      </c>
      <c r="M72">
        <v>6.3157180000000004</v>
      </c>
      <c r="N72" t="s">
        <v>39</v>
      </c>
      <c r="O72" t="s">
        <v>53</v>
      </c>
      <c r="P72">
        <v>22</v>
      </c>
      <c r="Q72">
        <v>775</v>
      </c>
      <c r="R72">
        <v>16</v>
      </c>
      <c r="S72">
        <v>11.440782</v>
      </c>
      <c r="T72" t="s">
        <v>64</v>
      </c>
      <c r="U72">
        <v>1.830576</v>
      </c>
      <c r="V72" t="s">
        <v>31</v>
      </c>
      <c r="W72" t="s">
        <v>41</v>
      </c>
      <c r="X72">
        <v>183.272899</v>
      </c>
    </row>
    <row r="73" spans="1:24" x14ac:dyDescent="0.35">
      <c r="A73" t="s">
        <v>57</v>
      </c>
      <c r="B73" t="s">
        <v>125</v>
      </c>
      <c r="C73">
        <v>6.3815330000000001</v>
      </c>
      <c r="D73">
        <v>14</v>
      </c>
      <c r="E73">
        <v>637</v>
      </c>
      <c r="F73">
        <v>8180.3370850000001</v>
      </c>
      <c r="G73" t="s">
        <v>35</v>
      </c>
      <c r="H73">
        <v>76</v>
      </c>
      <c r="I73">
        <v>2</v>
      </c>
      <c r="J73">
        <v>26</v>
      </c>
      <c r="K73">
        <v>6</v>
      </c>
      <c r="L73" t="s">
        <v>36</v>
      </c>
      <c r="M73">
        <v>9.2281899999999997</v>
      </c>
      <c r="N73" t="s">
        <v>61</v>
      </c>
      <c r="O73" t="s">
        <v>53</v>
      </c>
      <c r="P73">
        <v>2</v>
      </c>
      <c r="Q73">
        <v>258</v>
      </c>
      <c r="R73">
        <v>10</v>
      </c>
      <c r="S73">
        <v>30.661677000000001</v>
      </c>
      <c r="T73" t="s">
        <v>30</v>
      </c>
      <c r="U73">
        <v>2.078751</v>
      </c>
      <c r="V73" t="s">
        <v>31</v>
      </c>
      <c r="W73" t="s">
        <v>48</v>
      </c>
      <c r="X73">
        <v>405.16706799999997</v>
      </c>
    </row>
    <row r="74" spans="1:24" x14ac:dyDescent="0.35">
      <c r="A74" t="s">
        <v>57</v>
      </c>
      <c r="B74" t="s">
        <v>126</v>
      </c>
      <c r="C74">
        <v>90.204427999999993</v>
      </c>
      <c r="D74">
        <v>88</v>
      </c>
      <c r="E74">
        <v>478</v>
      </c>
      <c r="F74">
        <v>2633.1219809999998</v>
      </c>
      <c r="G74" t="s">
        <v>26</v>
      </c>
      <c r="H74">
        <v>57</v>
      </c>
      <c r="I74">
        <v>29</v>
      </c>
      <c r="J74">
        <v>77</v>
      </c>
      <c r="K74">
        <v>9</v>
      </c>
      <c r="L74" t="s">
        <v>36</v>
      </c>
      <c r="M74">
        <v>6.5996139999999999</v>
      </c>
      <c r="N74" t="s">
        <v>39</v>
      </c>
      <c r="O74" t="s">
        <v>53</v>
      </c>
      <c r="P74">
        <v>21</v>
      </c>
      <c r="Q74">
        <v>152</v>
      </c>
      <c r="R74">
        <v>11</v>
      </c>
      <c r="S74">
        <v>55.760492999999997</v>
      </c>
      <c r="T74" t="s">
        <v>30</v>
      </c>
      <c r="U74">
        <v>3.21333</v>
      </c>
      <c r="V74" t="s">
        <v>47</v>
      </c>
      <c r="W74" t="s">
        <v>32</v>
      </c>
      <c r="X74">
        <v>677.94457</v>
      </c>
    </row>
    <row r="75" spans="1:24" x14ac:dyDescent="0.35">
      <c r="A75" t="s">
        <v>57</v>
      </c>
      <c r="B75" t="s">
        <v>127</v>
      </c>
      <c r="C75">
        <v>83.851017999999996</v>
      </c>
      <c r="D75">
        <v>41</v>
      </c>
      <c r="E75">
        <v>375</v>
      </c>
      <c r="F75">
        <v>7910.8869160000004</v>
      </c>
      <c r="G75" t="s">
        <v>55</v>
      </c>
      <c r="H75">
        <v>17</v>
      </c>
      <c r="I75">
        <v>25</v>
      </c>
      <c r="J75">
        <v>66</v>
      </c>
      <c r="K75">
        <v>5</v>
      </c>
      <c r="L75" t="s">
        <v>27</v>
      </c>
      <c r="M75">
        <v>1.512937</v>
      </c>
      <c r="N75" t="s">
        <v>52</v>
      </c>
      <c r="O75" t="s">
        <v>62</v>
      </c>
      <c r="P75">
        <v>13</v>
      </c>
      <c r="Q75">
        <v>444</v>
      </c>
      <c r="R75">
        <v>4</v>
      </c>
      <c r="S75">
        <v>46.870238999999998</v>
      </c>
      <c r="T75" t="s">
        <v>46</v>
      </c>
      <c r="U75">
        <v>4.620546</v>
      </c>
      <c r="V75" t="s">
        <v>31</v>
      </c>
      <c r="W75" t="s">
        <v>48</v>
      </c>
      <c r="X75">
        <v>866.47280000000001</v>
      </c>
    </row>
    <row r="76" spans="1:24" x14ac:dyDescent="0.35">
      <c r="A76" t="s">
        <v>24</v>
      </c>
      <c r="B76" t="s">
        <v>128</v>
      </c>
      <c r="C76">
        <v>3.1700110000000001</v>
      </c>
      <c r="D76">
        <v>64</v>
      </c>
      <c r="E76">
        <v>904</v>
      </c>
      <c r="F76">
        <v>5709.9452959999999</v>
      </c>
      <c r="G76" t="s">
        <v>35</v>
      </c>
      <c r="H76">
        <v>41</v>
      </c>
      <c r="I76">
        <v>6</v>
      </c>
      <c r="J76">
        <v>1</v>
      </c>
      <c r="K76">
        <v>5</v>
      </c>
      <c r="L76" t="s">
        <v>36</v>
      </c>
      <c r="M76">
        <v>5.2376550000000002</v>
      </c>
      <c r="N76" t="s">
        <v>52</v>
      </c>
      <c r="O76" t="s">
        <v>50</v>
      </c>
      <c r="P76">
        <v>1</v>
      </c>
      <c r="Q76">
        <v>919</v>
      </c>
      <c r="R76">
        <v>9</v>
      </c>
      <c r="S76">
        <v>80.580851999999993</v>
      </c>
      <c r="T76" t="s">
        <v>46</v>
      </c>
      <c r="U76">
        <v>0.39661299999999999</v>
      </c>
      <c r="V76" t="s">
        <v>47</v>
      </c>
      <c r="W76" t="s">
        <v>48</v>
      </c>
      <c r="X76">
        <v>341.55265700000001</v>
      </c>
    </row>
    <row r="77" spans="1:24" x14ac:dyDescent="0.35">
      <c r="A77" t="s">
        <v>33</v>
      </c>
      <c r="B77" t="s">
        <v>129</v>
      </c>
      <c r="C77">
        <v>92.996883999999994</v>
      </c>
      <c r="D77">
        <v>29</v>
      </c>
      <c r="E77">
        <v>106</v>
      </c>
      <c r="F77">
        <v>1889.07359</v>
      </c>
      <c r="G77" t="s">
        <v>26</v>
      </c>
      <c r="H77">
        <v>16</v>
      </c>
      <c r="I77">
        <v>20</v>
      </c>
      <c r="J77">
        <v>56</v>
      </c>
      <c r="K77">
        <v>10</v>
      </c>
      <c r="L77" t="s">
        <v>43</v>
      </c>
      <c r="M77">
        <v>2.4738980000000002</v>
      </c>
      <c r="N77" t="s">
        <v>39</v>
      </c>
      <c r="O77" t="s">
        <v>62</v>
      </c>
      <c r="P77">
        <v>25</v>
      </c>
      <c r="Q77">
        <v>759</v>
      </c>
      <c r="R77">
        <v>11</v>
      </c>
      <c r="S77">
        <v>48.064782999999998</v>
      </c>
      <c r="T77" t="s">
        <v>64</v>
      </c>
      <c r="U77">
        <v>2.0300690000000001</v>
      </c>
      <c r="V77" t="s">
        <v>40</v>
      </c>
      <c r="W77" t="s">
        <v>41</v>
      </c>
      <c r="X77">
        <v>873.12964799999997</v>
      </c>
    </row>
    <row r="78" spans="1:24" x14ac:dyDescent="0.35">
      <c r="A78" t="s">
        <v>24</v>
      </c>
      <c r="B78" t="s">
        <v>130</v>
      </c>
      <c r="C78">
        <v>69.108800000000002</v>
      </c>
      <c r="D78">
        <v>23</v>
      </c>
      <c r="E78">
        <v>241</v>
      </c>
      <c r="F78">
        <v>5328.3759840000002</v>
      </c>
      <c r="G78" t="s">
        <v>55</v>
      </c>
      <c r="H78">
        <v>38</v>
      </c>
      <c r="I78">
        <v>1</v>
      </c>
      <c r="J78">
        <v>22</v>
      </c>
      <c r="K78">
        <v>10</v>
      </c>
      <c r="L78" t="s">
        <v>36</v>
      </c>
      <c r="M78">
        <v>7.054538</v>
      </c>
      <c r="N78" t="s">
        <v>61</v>
      </c>
      <c r="O78" t="s">
        <v>53</v>
      </c>
      <c r="P78">
        <v>25</v>
      </c>
      <c r="Q78">
        <v>985</v>
      </c>
      <c r="R78">
        <v>24</v>
      </c>
      <c r="S78">
        <v>64.323598000000004</v>
      </c>
      <c r="T78" t="s">
        <v>30</v>
      </c>
      <c r="U78">
        <v>2.180037</v>
      </c>
      <c r="V78" t="s">
        <v>47</v>
      </c>
      <c r="W78" t="s">
        <v>48</v>
      </c>
      <c r="X78">
        <v>997.41345000000001</v>
      </c>
    </row>
    <row r="79" spans="1:24" x14ac:dyDescent="0.35">
      <c r="A79" t="s">
        <v>24</v>
      </c>
      <c r="B79" t="s">
        <v>131</v>
      </c>
      <c r="C79">
        <v>57.449742999999998</v>
      </c>
      <c r="D79">
        <v>14</v>
      </c>
      <c r="E79">
        <v>359</v>
      </c>
      <c r="F79">
        <v>2483.760178</v>
      </c>
      <c r="G79" t="s">
        <v>38</v>
      </c>
      <c r="H79">
        <v>96</v>
      </c>
      <c r="I79">
        <v>28</v>
      </c>
      <c r="J79">
        <v>57</v>
      </c>
      <c r="K79">
        <v>4</v>
      </c>
      <c r="L79" t="s">
        <v>27</v>
      </c>
      <c r="M79">
        <v>6.7809470000000003</v>
      </c>
      <c r="N79" t="s">
        <v>39</v>
      </c>
      <c r="O79" t="s">
        <v>45</v>
      </c>
      <c r="P79">
        <v>26</v>
      </c>
      <c r="Q79">
        <v>334</v>
      </c>
      <c r="R79">
        <v>5</v>
      </c>
      <c r="S79">
        <v>42.952444999999997</v>
      </c>
      <c r="T79" t="s">
        <v>64</v>
      </c>
      <c r="U79">
        <v>3.055142</v>
      </c>
      <c r="V79" t="s">
        <v>31</v>
      </c>
      <c r="W79" t="s">
        <v>32</v>
      </c>
      <c r="X79">
        <v>852.56809899999996</v>
      </c>
    </row>
    <row r="80" spans="1:24" x14ac:dyDescent="0.35">
      <c r="A80" t="s">
        <v>24</v>
      </c>
      <c r="B80" t="s">
        <v>132</v>
      </c>
      <c r="C80">
        <v>6.306883</v>
      </c>
      <c r="D80">
        <v>50</v>
      </c>
      <c r="E80">
        <v>946</v>
      </c>
      <c r="F80">
        <v>1292.4584179999999</v>
      </c>
      <c r="G80" t="s">
        <v>38</v>
      </c>
      <c r="H80">
        <v>5</v>
      </c>
      <c r="I80">
        <v>4</v>
      </c>
      <c r="J80">
        <v>51</v>
      </c>
      <c r="K80">
        <v>5</v>
      </c>
      <c r="L80" t="s">
        <v>27</v>
      </c>
      <c r="M80">
        <v>8.4670500000000004</v>
      </c>
      <c r="N80" t="s">
        <v>44</v>
      </c>
      <c r="O80" t="s">
        <v>29</v>
      </c>
      <c r="P80">
        <v>25</v>
      </c>
      <c r="Q80">
        <v>858</v>
      </c>
      <c r="R80">
        <v>21</v>
      </c>
      <c r="S80">
        <v>71.126514999999998</v>
      </c>
      <c r="T80" t="s">
        <v>30</v>
      </c>
      <c r="U80">
        <v>4.0968809999999998</v>
      </c>
      <c r="V80" t="s">
        <v>56</v>
      </c>
      <c r="W80" t="s">
        <v>41</v>
      </c>
      <c r="X80">
        <v>323.59220299999998</v>
      </c>
    </row>
    <row r="81" spans="1:24" x14ac:dyDescent="0.35">
      <c r="A81" t="s">
        <v>24</v>
      </c>
      <c r="B81" t="s">
        <v>133</v>
      </c>
      <c r="C81">
        <v>57.057031000000002</v>
      </c>
      <c r="D81">
        <v>56</v>
      </c>
      <c r="E81">
        <v>198</v>
      </c>
      <c r="F81">
        <v>7888.7232679999997</v>
      </c>
      <c r="G81" t="s">
        <v>26</v>
      </c>
      <c r="H81">
        <v>31</v>
      </c>
      <c r="I81">
        <v>25</v>
      </c>
      <c r="J81">
        <v>20</v>
      </c>
      <c r="K81">
        <v>1</v>
      </c>
      <c r="L81" t="s">
        <v>27</v>
      </c>
      <c r="M81">
        <v>6.4963249999999997</v>
      </c>
      <c r="N81" t="s">
        <v>28</v>
      </c>
      <c r="O81" t="s">
        <v>53</v>
      </c>
      <c r="P81">
        <v>5</v>
      </c>
      <c r="Q81">
        <v>228</v>
      </c>
      <c r="R81">
        <v>12</v>
      </c>
      <c r="S81">
        <v>57.870902999999998</v>
      </c>
      <c r="T81" t="s">
        <v>30</v>
      </c>
      <c r="U81">
        <v>0.16587199999999999</v>
      </c>
      <c r="V81" t="s">
        <v>40</v>
      </c>
      <c r="W81" t="s">
        <v>41</v>
      </c>
      <c r="X81">
        <v>351.50421899999998</v>
      </c>
    </row>
    <row r="82" spans="1:24" x14ac:dyDescent="0.35">
      <c r="A82" t="s">
        <v>33</v>
      </c>
      <c r="B82" t="s">
        <v>134</v>
      </c>
      <c r="C82">
        <v>91.128317999999993</v>
      </c>
      <c r="D82">
        <v>75</v>
      </c>
      <c r="E82">
        <v>872</v>
      </c>
      <c r="F82">
        <v>8651.6726830000007</v>
      </c>
      <c r="G82" t="s">
        <v>38</v>
      </c>
      <c r="H82">
        <v>39</v>
      </c>
      <c r="I82">
        <v>14</v>
      </c>
      <c r="J82">
        <v>41</v>
      </c>
      <c r="K82">
        <v>2</v>
      </c>
      <c r="L82" t="s">
        <v>43</v>
      </c>
      <c r="M82">
        <v>2.8331849999999998</v>
      </c>
      <c r="N82" t="s">
        <v>28</v>
      </c>
      <c r="O82" t="s">
        <v>62</v>
      </c>
      <c r="P82">
        <v>8</v>
      </c>
      <c r="Q82">
        <v>202</v>
      </c>
      <c r="R82">
        <v>5</v>
      </c>
      <c r="S82">
        <v>76.961228000000006</v>
      </c>
      <c r="T82" t="s">
        <v>46</v>
      </c>
      <c r="U82">
        <v>2.8496619999999999</v>
      </c>
      <c r="V82" t="s">
        <v>56</v>
      </c>
      <c r="W82" t="s">
        <v>32</v>
      </c>
      <c r="X82">
        <v>787.77985000000001</v>
      </c>
    </row>
    <row r="83" spans="1:24" x14ac:dyDescent="0.35">
      <c r="A83" t="s">
        <v>24</v>
      </c>
      <c r="B83" t="s">
        <v>135</v>
      </c>
      <c r="C83">
        <v>72.819207000000006</v>
      </c>
      <c r="D83">
        <v>9</v>
      </c>
      <c r="E83">
        <v>774</v>
      </c>
      <c r="F83">
        <v>4384.4134000000004</v>
      </c>
      <c r="G83" t="s">
        <v>38</v>
      </c>
      <c r="H83">
        <v>48</v>
      </c>
      <c r="I83">
        <v>6</v>
      </c>
      <c r="J83">
        <v>8</v>
      </c>
      <c r="K83">
        <v>5</v>
      </c>
      <c r="L83" t="s">
        <v>27</v>
      </c>
      <c r="M83">
        <v>4.0662779999999996</v>
      </c>
      <c r="N83" t="s">
        <v>28</v>
      </c>
      <c r="O83" t="s">
        <v>50</v>
      </c>
      <c r="P83">
        <v>28</v>
      </c>
      <c r="Q83">
        <v>698</v>
      </c>
      <c r="R83">
        <v>1</v>
      </c>
      <c r="S83">
        <v>19.789593</v>
      </c>
      <c r="T83" t="s">
        <v>30</v>
      </c>
      <c r="U83">
        <v>2.5475469999999998</v>
      </c>
      <c r="V83" t="s">
        <v>47</v>
      </c>
      <c r="W83" t="s">
        <v>32</v>
      </c>
      <c r="X83">
        <v>276.77833600000002</v>
      </c>
    </row>
    <row r="84" spans="1:24" x14ac:dyDescent="0.35">
      <c r="A84" t="s">
        <v>33</v>
      </c>
      <c r="B84" t="s">
        <v>136</v>
      </c>
      <c r="C84">
        <v>17.034931</v>
      </c>
      <c r="D84">
        <v>13</v>
      </c>
      <c r="E84">
        <v>336</v>
      </c>
      <c r="F84">
        <v>2943.3818679999999</v>
      </c>
      <c r="G84" t="s">
        <v>38</v>
      </c>
      <c r="H84">
        <v>42</v>
      </c>
      <c r="I84">
        <v>19</v>
      </c>
      <c r="J84">
        <v>72</v>
      </c>
      <c r="K84">
        <v>1</v>
      </c>
      <c r="L84" t="s">
        <v>36</v>
      </c>
      <c r="M84">
        <v>4.7081819999999999</v>
      </c>
      <c r="N84" t="s">
        <v>61</v>
      </c>
      <c r="O84" t="s">
        <v>29</v>
      </c>
      <c r="P84">
        <v>6</v>
      </c>
      <c r="Q84">
        <v>955</v>
      </c>
      <c r="R84">
        <v>26</v>
      </c>
      <c r="S84">
        <v>4.4652779999999996</v>
      </c>
      <c r="T84" t="s">
        <v>30</v>
      </c>
      <c r="U84">
        <v>4.1378769999999996</v>
      </c>
      <c r="V84" t="s">
        <v>31</v>
      </c>
      <c r="W84" t="s">
        <v>41</v>
      </c>
      <c r="X84">
        <v>589.97855600000003</v>
      </c>
    </row>
    <row r="85" spans="1:24" x14ac:dyDescent="0.35">
      <c r="A85" t="s">
        <v>24</v>
      </c>
      <c r="B85" t="s">
        <v>137</v>
      </c>
      <c r="C85">
        <v>68.911246000000006</v>
      </c>
      <c r="D85">
        <v>82</v>
      </c>
      <c r="E85">
        <v>663</v>
      </c>
      <c r="F85">
        <v>2411.7546320000001</v>
      </c>
      <c r="G85" t="s">
        <v>38</v>
      </c>
      <c r="H85">
        <v>65</v>
      </c>
      <c r="I85">
        <v>24</v>
      </c>
      <c r="J85">
        <v>7</v>
      </c>
      <c r="K85">
        <v>8</v>
      </c>
      <c r="L85" t="s">
        <v>27</v>
      </c>
      <c r="M85">
        <v>4.94984</v>
      </c>
      <c r="N85" t="s">
        <v>39</v>
      </c>
      <c r="O85" t="s">
        <v>53</v>
      </c>
      <c r="P85">
        <v>20</v>
      </c>
      <c r="Q85">
        <v>443</v>
      </c>
      <c r="R85">
        <v>5</v>
      </c>
      <c r="S85">
        <v>97.730593999999996</v>
      </c>
      <c r="T85" t="s">
        <v>46</v>
      </c>
      <c r="U85">
        <v>0.77300599999999997</v>
      </c>
      <c r="V85" t="s">
        <v>31</v>
      </c>
      <c r="W85" t="s">
        <v>48</v>
      </c>
      <c r="X85">
        <v>682.97101799999996</v>
      </c>
    </row>
    <row r="86" spans="1:24" x14ac:dyDescent="0.35">
      <c r="A86" t="s">
        <v>24</v>
      </c>
      <c r="B86" t="s">
        <v>138</v>
      </c>
      <c r="C86">
        <v>89.104366999999996</v>
      </c>
      <c r="D86">
        <v>99</v>
      </c>
      <c r="E86">
        <v>618</v>
      </c>
      <c r="F86">
        <v>2048.2901000000002</v>
      </c>
      <c r="G86" t="s">
        <v>38</v>
      </c>
      <c r="H86">
        <v>73</v>
      </c>
      <c r="I86">
        <v>26</v>
      </c>
      <c r="J86">
        <v>80</v>
      </c>
      <c r="K86">
        <v>10</v>
      </c>
      <c r="L86" t="s">
        <v>36</v>
      </c>
      <c r="M86">
        <v>8.3816159999999993</v>
      </c>
      <c r="N86" t="s">
        <v>44</v>
      </c>
      <c r="O86" t="s">
        <v>62</v>
      </c>
      <c r="P86">
        <v>24</v>
      </c>
      <c r="Q86">
        <v>589</v>
      </c>
      <c r="R86">
        <v>22</v>
      </c>
      <c r="S86">
        <v>33.808636999999997</v>
      </c>
      <c r="T86" t="s">
        <v>64</v>
      </c>
      <c r="U86">
        <v>4.8434569999999999</v>
      </c>
      <c r="V86" t="s">
        <v>40</v>
      </c>
      <c r="W86" t="s">
        <v>32</v>
      </c>
      <c r="X86">
        <v>465.45700599999998</v>
      </c>
    </row>
    <row r="87" spans="1:24" x14ac:dyDescent="0.35">
      <c r="A87" t="s">
        <v>57</v>
      </c>
      <c r="B87" t="s">
        <v>139</v>
      </c>
      <c r="C87">
        <v>76.962993999999995</v>
      </c>
      <c r="D87">
        <v>83</v>
      </c>
      <c r="E87">
        <v>25</v>
      </c>
      <c r="F87">
        <v>8684.6130589999993</v>
      </c>
      <c r="G87" t="s">
        <v>35</v>
      </c>
      <c r="H87">
        <v>15</v>
      </c>
      <c r="I87">
        <v>18</v>
      </c>
      <c r="J87">
        <v>66</v>
      </c>
      <c r="K87">
        <v>2</v>
      </c>
      <c r="L87" t="s">
        <v>43</v>
      </c>
      <c r="M87">
        <v>8.2491690000000002</v>
      </c>
      <c r="N87" t="s">
        <v>44</v>
      </c>
      <c r="O87" t="s">
        <v>62</v>
      </c>
      <c r="P87">
        <v>4</v>
      </c>
      <c r="Q87">
        <v>211</v>
      </c>
      <c r="R87">
        <v>2</v>
      </c>
      <c r="S87">
        <v>69.929345999999995</v>
      </c>
      <c r="T87" t="s">
        <v>46</v>
      </c>
      <c r="U87">
        <v>1.3744289999999999</v>
      </c>
      <c r="V87" t="s">
        <v>31</v>
      </c>
      <c r="W87" t="s">
        <v>32</v>
      </c>
      <c r="X87">
        <v>842.68682999999999</v>
      </c>
    </row>
    <row r="88" spans="1:24" x14ac:dyDescent="0.35">
      <c r="A88" t="s">
        <v>33</v>
      </c>
      <c r="B88" t="s">
        <v>140</v>
      </c>
      <c r="C88">
        <v>19.998176999999998</v>
      </c>
      <c r="D88">
        <v>18</v>
      </c>
      <c r="E88">
        <v>223</v>
      </c>
      <c r="F88">
        <v>1229.5910289999999</v>
      </c>
      <c r="G88" t="s">
        <v>38</v>
      </c>
      <c r="H88">
        <v>32</v>
      </c>
      <c r="I88">
        <v>14</v>
      </c>
      <c r="J88">
        <v>22</v>
      </c>
      <c r="K88">
        <v>6</v>
      </c>
      <c r="L88" t="s">
        <v>27</v>
      </c>
      <c r="M88">
        <v>1.454305</v>
      </c>
      <c r="N88" t="s">
        <v>39</v>
      </c>
      <c r="O88" t="s">
        <v>29</v>
      </c>
      <c r="P88">
        <v>4</v>
      </c>
      <c r="Q88">
        <v>569</v>
      </c>
      <c r="R88">
        <v>18</v>
      </c>
      <c r="S88">
        <v>74.608969999999999</v>
      </c>
      <c r="T88" t="s">
        <v>64</v>
      </c>
      <c r="U88">
        <v>2.0515129999999999</v>
      </c>
      <c r="V88" t="s">
        <v>47</v>
      </c>
      <c r="W88" t="s">
        <v>48</v>
      </c>
      <c r="X88">
        <v>264.25488999999999</v>
      </c>
    </row>
    <row r="89" spans="1:24" x14ac:dyDescent="0.35">
      <c r="A89" t="s">
        <v>24</v>
      </c>
      <c r="B89" t="s">
        <v>141</v>
      </c>
      <c r="C89">
        <v>80.414036999999993</v>
      </c>
      <c r="D89">
        <v>24</v>
      </c>
      <c r="E89">
        <v>79</v>
      </c>
      <c r="F89">
        <v>5133.8467010000004</v>
      </c>
      <c r="G89" t="s">
        <v>55</v>
      </c>
      <c r="H89">
        <v>5</v>
      </c>
      <c r="I89">
        <v>7</v>
      </c>
      <c r="J89">
        <v>55</v>
      </c>
      <c r="K89">
        <v>10</v>
      </c>
      <c r="L89" t="s">
        <v>36</v>
      </c>
      <c r="M89">
        <v>6.5758039999999998</v>
      </c>
      <c r="N89" t="s">
        <v>28</v>
      </c>
      <c r="O89" t="s">
        <v>62</v>
      </c>
      <c r="P89">
        <v>27</v>
      </c>
      <c r="Q89">
        <v>523</v>
      </c>
      <c r="R89">
        <v>17</v>
      </c>
      <c r="S89">
        <v>28.696997</v>
      </c>
      <c r="T89" t="s">
        <v>46</v>
      </c>
      <c r="U89">
        <v>3.6937380000000002</v>
      </c>
      <c r="V89" t="s">
        <v>56</v>
      </c>
      <c r="W89" t="s">
        <v>32</v>
      </c>
      <c r="X89">
        <v>879.35921800000006</v>
      </c>
    </row>
    <row r="90" spans="1:24" x14ac:dyDescent="0.35">
      <c r="A90" t="s">
        <v>57</v>
      </c>
      <c r="B90" t="s">
        <v>142</v>
      </c>
      <c r="C90">
        <v>75.270407000000006</v>
      </c>
      <c r="D90">
        <v>58</v>
      </c>
      <c r="E90">
        <v>737</v>
      </c>
      <c r="F90">
        <v>9444.7420330000004</v>
      </c>
      <c r="G90" t="s">
        <v>55</v>
      </c>
      <c r="H90">
        <v>60</v>
      </c>
      <c r="I90">
        <v>18</v>
      </c>
      <c r="J90">
        <v>85</v>
      </c>
      <c r="K90">
        <v>7</v>
      </c>
      <c r="L90" t="s">
        <v>36</v>
      </c>
      <c r="M90">
        <v>3.801253</v>
      </c>
      <c r="N90" t="s">
        <v>61</v>
      </c>
      <c r="O90" t="s">
        <v>29</v>
      </c>
      <c r="P90">
        <v>21</v>
      </c>
      <c r="Q90">
        <v>953</v>
      </c>
      <c r="R90">
        <v>11</v>
      </c>
      <c r="S90">
        <v>68.184918999999994</v>
      </c>
      <c r="T90" t="s">
        <v>30</v>
      </c>
      <c r="U90">
        <v>0.72220399999999996</v>
      </c>
      <c r="V90" t="s">
        <v>56</v>
      </c>
      <c r="W90" t="s">
        <v>48</v>
      </c>
      <c r="X90">
        <v>103.916248</v>
      </c>
    </row>
    <row r="91" spans="1:24" x14ac:dyDescent="0.35">
      <c r="A91" t="s">
        <v>57</v>
      </c>
      <c r="B91" t="s">
        <v>143</v>
      </c>
      <c r="C91">
        <v>97.760086000000001</v>
      </c>
      <c r="D91">
        <v>10</v>
      </c>
      <c r="E91">
        <v>134</v>
      </c>
      <c r="F91">
        <v>5924.6825669999998</v>
      </c>
      <c r="G91" t="s">
        <v>38</v>
      </c>
      <c r="H91">
        <v>90</v>
      </c>
      <c r="I91">
        <v>1</v>
      </c>
      <c r="J91">
        <v>27</v>
      </c>
      <c r="K91">
        <v>8</v>
      </c>
      <c r="L91" t="s">
        <v>27</v>
      </c>
      <c r="M91">
        <v>9.9298160000000006</v>
      </c>
      <c r="N91" t="s">
        <v>39</v>
      </c>
      <c r="O91" t="s">
        <v>45</v>
      </c>
      <c r="P91">
        <v>23</v>
      </c>
      <c r="Q91">
        <v>370</v>
      </c>
      <c r="R91">
        <v>11</v>
      </c>
      <c r="S91">
        <v>46.603873</v>
      </c>
      <c r="T91" t="s">
        <v>30</v>
      </c>
      <c r="U91">
        <v>1.9076660000000001</v>
      </c>
      <c r="V91" t="s">
        <v>47</v>
      </c>
      <c r="W91" t="s">
        <v>32</v>
      </c>
      <c r="X91">
        <v>517.49997399999995</v>
      </c>
    </row>
    <row r="92" spans="1:24" x14ac:dyDescent="0.35">
      <c r="A92" t="s">
        <v>33</v>
      </c>
      <c r="B92" t="s">
        <v>144</v>
      </c>
      <c r="C92">
        <v>13.881914</v>
      </c>
      <c r="D92">
        <v>56</v>
      </c>
      <c r="E92">
        <v>320</v>
      </c>
      <c r="F92">
        <v>9592.63357</v>
      </c>
      <c r="G92" t="s">
        <v>26</v>
      </c>
      <c r="H92">
        <v>66</v>
      </c>
      <c r="I92">
        <v>18</v>
      </c>
      <c r="J92">
        <v>96</v>
      </c>
      <c r="K92">
        <v>7</v>
      </c>
      <c r="L92" t="s">
        <v>27</v>
      </c>
      <c r="M92">
        <v>7.6744310000000002</v>
      </c>
      <c r="N92" t="s">
        <v>28</v>
      </c>
      <c r="O92" t="s">
        <v>53</v>
      </c>
      <c r="P92">
        <v>8</v>
      </c>
      <c r="Q92">
        <v>585</v>
      </c>
      <c r="R92">
        <v>8</v>
      </c>
      <c r="S92">
        <v>85.675962999999996</v>
      </c>
      <c r="T92" t="s">
        <v>64</v>
      </c>
      <c r="U92">
        <v>1.219382</v>
      </c>
      <c r="V92" t="s">
        <v>47</v>
      </c>
      <c r="W92" t="s">
        <v>32</v>
      </c>
      <c r="X92">
        <v>990.07847300000003</v>
      </c>
    </row>
    <row r="93" spans="1:24" x14ac:dyDescent="0.35">
      <c r="A93" t="s">
        <v>57</v>
      </c>
      <c r="B93" t="s">
        <v>145</v>
      </c>
      <c r="C93">
        <v>62.111964999999998</v>
      </c>
      <c r="D93">
        <v>90</v>
      </c>
      <c r="E93">
        <v>916</v>
      </c>
      <c r="F93">
        <v>1935.2067939999999</v>
      </c>
      <c r="G93" t="s">
        <v>55</v>
      </c>
      <c r="H93">
        <v>98</v>
      </c>
      <c r="I93">
        <v>22</v>
      </c>
      <c r="J93">
        <v>85</v>
      </c>
      <c r="K93">
        <v>7</v>
      </c>
      <c r="L93" t="s">
        <v>27</v>
      </c>
      <c r="M93">
        <v>7.471514</v>
      </c>
      <c r="N93" t="s">
        <v>52</v>
      </c>
      <c r="O93" t="s">
        <v>50</v>
      </c>
      <c r="P93">
        <v>5</v>
      </c>
      <c r="Q93">
        <v>207</v>
      </c>
      <c r="R93">
        <v>28</v>
      </c>
      <c r="S93">
        <v>39.772883</v>
      </c>
      <c r="T93" t="s">
        <v>30</v>
      </c>
      <c r="U93">
        <v>0.62600199999999995</v>
      </c>
      <c r="V93" t="s">
        <v>47</v>
      </c>
      <c r="W93" t="s">
        <v>32</v>
      </c>
      <c r="X93">
        <v>996.77831500000002</v>
      </c>
    </row>
    <row r="94" spans="1:24" x14ac:dyDescent="0.35">
      <c r="A94" t="s">
        <v>57</v>
      </c>
      <c r="B94" t="s">
        <v>146</v>
      </c>
      <c r="C94">
        <v>47.714233</v>
      </c>
      <c r="D94">
        <v>44</v>
      </c>
      <c r="E94">
        <v>276</v>
      </c>
      <c r="F94">
        <v>2100.1297549999999</v>
      </c>
      <c r="G94" t="s">
        <v>55</v>
      </c>
      <c r="H94">
        <v>90</v>
      </c>
      <c r="I94">
        <v>25</v>
      </c>
      <c r="J94">
        <v>10</v>
      </c>
      <c r="K94">
        <v>8</v>
      </c>
      <c r="L94" t="s">
        <v>27</v>
      </c>
      <c r="M94">
        <v>4.4695</v>
      </c>
      <c r="N94" t="s">
        <v>61</v>
      </c>
      <c r="O94" t="s">
        <v>29</v>
      </c>
      <c r="P94">
        <v>4</v>
      </c>
      <c r="Q94">
        <v>671</v>
      </c>
      <c r="R94">
        <v>29</v>
      </c>
      <c r="S94">
        <v>62.612690000000001</v>
      </c>
      <c r="T94" t="s">
        <v>64</v>
      </c>
      <c r="U94">
        <v>0.33343200000000001</v>
      </c>
      <c r="V94" t="s">
        <v>47</v>
      </c>
      <c r="W94" t="s">
        <v>32</v>
      </c>
      <c r="X94">
        <v>230.092783</v>
      </c>
    </row>
    <row r="95" spans="1:24" x14ac:dyDescent="0.35">
      <c r="A95" t="s">
        <v>24</v>
      </c>
      <c r="B95" t="s">
        <v>147</v>
      </c>
      <c r="C95">
        <v>69.290830999999997</v>
      </c>
      <c r="D95">
        <v>88</v>
      </c>
      <c r="E95">
        <v>114</v>
      </c>
      <c r="F95">
        <v>4531.4021339999999</v>
      </c>
      <c r="G95" t="s">
        <v>38</v>
      </c>
      <c r="H95">
        <v>63</v>
      </c>
      <c r="I95">
        <v>17</v>
      </c>
      <c r="J95">
        <v>66</v>
      </c>
      <c r="K95">
        <v>1</v>
      </c>
      <c r="L95" t="s">
        <v>43</v>
      </c>
      <c r="M95">
        <v>7.0064320000000002</v>
      </c>
      <c r="N95" t="s">
        <v>52</v>
      </c>
      <c r="O95" t="s">
        <v>62</v>
      </c>
      <c r="P95">
        <v>21</v>
      </c>
      <c r="Q95">
        <v>824</v>
      </c>
      <c r="R95">
        <v>20</v>
      </c>
      <c r="S95">
        <v>35.633651999999998</v>
      </c>
      <c r="T95" t="s">
        <v>46</v>
      </c>
      <c r="U95">
        <v>4.1657820000000001</v>
      </c>
      <c r="V95" t="s">
        <v>40</v>
      </c>
      <c r="W95" t="s">
        <v>48</v>
      </c>
      <c r="X95">
        <v>823.52384600000005</v>
      </c>
    </row>
    <row r="96" spans="1:24" x14ac:dyDescent="0.35">
      <c r="A96" t="s">
        <v>57</v>
      </c>
      <c r="B96" t="s">
        <v>148</v>
      </c>
      <c r="C96">
        <v>3.0376889999999999</v>
      </c>
      <c r="D96">
        <v>97</v>
      </c>
      <c r="E96">
        <v>987</v>
      </c>
      <c r="F96">
        <v>7888.3565470000003</v>
      </c>
      <c r="G96" t="s">
        <v>38</v>
      </c>
      <c r="H96">
        <v>77</v>
      </c>
      <c r="I96">
        <v>26</v>
      </c>
      <c r="J96">
        <v>72</v>
      </c>
      <c r="K96">
        <v>9</v>
      </c>
      <c r="L96" t="s">
        <v>27</v>
      </c>
      <c r="M96">
        <v>6.9429460000000001</v>
      </c>
      <c r="N96" t="s">
        <v>61</v>
      </c>
      <c r="O96" t="s">
        <v>50</v>
      </c>
      <c r="P96">
        <v>12</v>
      </c>
      <c r="Q96">
        <v>908</v>
      </c>
      <c r="R96">
        <v>14</v>
      </c>
      <c r="S96">
        <v>60.387379000000003</v>
      </c>
      <c r="T96" t="s">
        <v>64</v>
      </c>
      <c r="U96">
        <v>1.4636070000000001</v>
      </c>
      <c r="V96" t="s">
        <v>47</v>
      </c>
      <c r="W96" t="s">
        <v>32</v>
      </c>
      <c r="X96">
        <v>846.665257</v>
      </c>
    </row>
    <row r="97" spans="1:24" x14ac:dyDescent="0.35">
      <c r="A97" t="s">
        <v>24</v>
      </c>
      <c r="B97" t="s">
        <v>149</v>
      </c>
      <c r="C97">
        <v>77.903926999999996</v>
      </c>
      <c r="D97">
        <v>65</v>
      </c>
      <c r="E97">
        <v>672</v>
      </c>
      <c r="F97">
        <v>7386.3639439999997</v>
      </c>
      <c r="G97" t="s">
        <v>38</v>
      </c>
      <c r="H97">
        <v>15</v>
      </c>
      <c r="I97">
        <v>14</v>
      </c>
      <c r="J97">
        <v>26</v>
      </c>
      <c r="K97">
        <v>9</v>
      </c>
      <c r="L97" t="s">
        <v>27</v>
      </c>
      <c r="M97">
        <v>8.6303389999999993</v>
      </c>
      <c r="N97" t="s">
        <v>52</v>
      </c>
      <c r="O97" t="s">
        <v>29</v>
      </c>
      <c r="P97">
        <v>18</v>
      </c>
      <c r="Q97">
        <v>450</v>
      </c>
      <c r="R97">
        <v>26</v>
      </c>
      <c r="S97">
        <v>58.890686000000002</v>
      </c>
      <c r="T97" t="s">
        <v>30</v>
      </c>
      <c r="U97">
        <v>1.210882</v>
      </c>
      <c r="V97" t="s">
        <v>40</v>
      </c>
      <c r="W97" t="s">
        <v>48</v>
      </c>
      <c r="X97">
        <v>778.86424099999999</v>
      </c>
    </row>
    <row r="98" spans="1:24" x14ac:dyDescent="0.35">
      <c r="A98" t="s">
        <v>57</v>
      </c>
      <c r="B98" t="s">
        <v>150</v>
      </c>
      <c r="C98">
        <v>24.423131000000001</v>
      </c>
      <c r="D98">
        <v>29</v>
      </c>
      <c r="E98">
        <v>324</v>
      </c>
      <c r="F98">
        <v>7698.4247660000001</v>
      </c>
      <c r="G98" t="s">
        <v>26</v>
      </c>
      <c r="H98">
        <v>67</v>
      </c>
      <c r="I98">
        <v>2</v>
      </c>
      <c r="J98">
        <v>32</v>
      </c>
      <c r="K98">
        <v>3</v>
      </c>
      <c r="L98" t="s">
        <v>43</v>
      </c>
      <c r="M98">
        <v>5.3528779999999996</v>
      </c>
      <c r="N98" t="s">
        <v>28</v>
      </c>
      <c r="O98" t="s">
        <v>29</v>
      </c>
      <c r="P98">
        <v>28</v>
      </c>
      <c r="Q98">
        <v>648</v>
      </c>
      <c r="R98">
        <v>28</v>
      </c>
      <c r="S98">
        <v>17.803756</v>
      </c>
      <c r="T98" t="s">
        <v>30</v>
      </c>
      <c r="U98">
        <v>3.8720479999999999</v>
      </c>
      <c r="V98" t="s">
        <v>31</v>
      </c>
      <c r="W98" t="s">
        <v>48</v>
      </c>
      <c r="X98">
        <v>188.742141</v>
      </c>
    </row>
    <row r="99" spans="1:24" x14ac:dyDescent="0.35">
      <c r="A99" t="s">
        <v>24</v>
      </c>
      <c r="B99" t="s">
        <v>151</v>
      </c>
      <c r="C99">
        <v>3.5261110000000002</v>
      </c>
      <c r="D99">
        <v>56</v>
      </c>
      <c r="E99">
        <v>62</v>
      </c>
      <c r="F99">
        <v>4370.9165800000001</v>
      </c>
      <c r="G99" t="s">
        <v>55</v>
      </c>
      <c r="H99">
        <v>46</v>
      </c>
      <c r="I99">
        <v>19</v>
      </c>
      <c r="J99">
        <v>4</v>
      </c>
      <c r="K99">
        <v>9</v>
      </c>
      <c r="L99" t="s">
        <v>36</v>
      </c>
      <c r="M99">
        <v>7.904846</v>
      </c>
      <c r="N99" t="s">
        <v>52</v>
      </c>
      <c r="O99" t="s">
        <v>29</v>
      </c>
      <c r="P99">
        <v>10</v>
      </c>
      <c r="Q99">
        <v>535</v>
      </c>
      <c r="R99">
        <v>13</v>
      </c>
      <c r="S99">
        <v>65.765156000000005</v>
      </c>
      <c r="T99" t="s">
        <v>46</v>
      </c>
      <c r="U99">
        <v>3.3762379999999999</v>
      </c>
      <c r="V99" t="s">
        <v>31</v>
      </c>
      <c r="W99" t="s">
        <v>48</v>
      </c>
      <c r="X99">
        <v>540.13242300000002</v>
      </c>
    </row>
    <row r="100" spans="1:24" x14ac:dyDescent="0.35">
      <c r="A100" t="s">
        <v>33</v>
      </c>
      <c r="B100" t="s">
        <v>152</v>
      </c>
      <c r="C100">
        <v>19.754605000000002</v>
      </c>
      <c r="D100">
        <v>43</v>
      </c>
      <c r="E100">
        <v>913</v>
      </c>
      <c r="F100">
        <v>8525.9525599999997</v>
      </c>
      <c r="G100" t="s">
        <v>35</v>
      </c>
      <c r="H100">
        <v>53</v>
      </c>
      <c r="I100">
        <v>1</v>
      </c>
      <c r="J100">
        <v>27</v>
      </c>
      <c r="K100">
        <v>7</v>
      </c>
      <c r="L100" t="s">
        <v>27</v>
      </c>
      <c r="M100">
        <v>1.4098010000000001</v>
      </c>
      <c r="N100" t="s">
        <v>44</v>
      </c>
      <c r="O100" t="s">
        <v>62</v>
      </c>
      <c r="P100">
        <v>28</v>
      </c>
      <c r="Q100">
        <v>581</v>
      </c>
      <c r="R100">
        <v>9</v>
      </c>
      <c r="S100">
        <v>5.6046909999999999</v>
      </c>
      <c r="T100" t="s">
        <v>30</v>
      </c>
      <c r="U100">
        <v>2.9081220000000001</v>
      </c>
      <c r="V100" t="s">
        <v>47</v>
      </c>
      <c r="W100" t="s">
        <v>48</v>
      </c>
      <c r="X100">
        <v>882.19886399999996</v>
      </c>
    </row>
    <row r="101" spans="1:24" x14ac:dyDescent="0.35">
      <c r="A101" t="s">
        <v>24</v>
      </c>
      <c r="B101" t="s">
        <v>153</v>
      </c>
      <c r="C101">
        <v>68.517832999999996</v>
      </c>
      <c r="D101">
        <v>17</v>
      </c>
      <c r="E101">
        <v>627</v>
      </c>
      <c r="F101">
        <v>9185.185829</v>
      </c>
      <c r="G101" t="s">
        <v>38</v>
      </c>
      <c r="H101">
        <v>55</v>
      </c>
      <c r="I101">
        <v>8</v>
      </c>
      <c r="J101">
        <v>59</v>
      </c>
      <c r="K101">
        <v>6</v>
      </c>
      <c r="L101" t="s">
        <v>27</v>
      </c>
      <c r="M101">
        <v>1.311024</v>
      </c>
      <c r="N101" t="s">
        <v>61</v>
      </c>
      <c r="O101" t="s">
        <v>62</v>
      </c>
      <c r="P101">
        <v>29</v>
      </c>
      <c r="Q101">
        <v>921</v>
      </c>
      <c r="R101">
        <v>2</v>
      </c>
      <c r="S101">
        <v>38.072899</v>
      </c>
      <c r="T101" t="s">
        <v>46</v>
      </c>
      <c r="U101">
        <v>0.34602699999999997</v>
      </c>
      <c r="V101" t="s">
        <v>47</v>
      </c>
      <c r="W101" t="s">
        <v>32</v>
      </c>
      <c r="X101">
        <v>210.743009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C23D3-8860-4FA8-920C-51095F06320C}">
  <dimension ref="A1:AF101"/>
  <sheetViews>
    <sheetView workbookViewId="0">
      <selection activeCell="D2" sqref="D2"/>
    </sheetView>
  </sheetViews>
  <sheetFormatPr defaultRowHeight="14.5" x14ac:dyDescent="0.35"/>
  <cols>
    <col min="1" max="1" width="13.6328125" style="5" bestFit="1" customWidth="1"/>
    <col min="2" max="2" width="6.54296875" style="5" bestFit="1" customWidth="1"/>
    <col min="3" max="3" width="7.81640625" style="6" bestFit="1" customWidth="1"/>
    <col min="4" max="4" width="12.453125" style="5" bestFit="1" customWidth="1"/>
    <col min="5" max="5" width="23.81640625" style="5" bestFit="1" customWidth="1"/>
    <col min="6" max="6" width="19.26953125" style="6" bestFit="1" customWidth="1"/>
    <col min="7" max="7" width="23.81640625" style="5" bestFit="1" customWidth="1"/>
    <col min="8" max="8" width="13.08984375" style="7" bestFit="1" customWidth="1"/>
    <col min="9" max="9" width="20" style="7" bestFit="1" customWidth="1"/>
    <col min="10" max="10" width="16.7265625" style="7" bestFit="1" customWidth="1"/>
    <col min="11" max="11" width="16.7265625" style="7" customWidth="1"/>
    <col min="12" max="12" width="22.08984375" style="7" bestFit="1" customWidth="1"/>
    <col min="13" max="13" width="22.08984375" style="7" customWidth="1"/>
    <col min="14" max="14" width="15.7265625" style="7" bestFit="1" customWidth="1"/>
    <col min="15" max="15" width="17.36328125" style="8" bestFit="1" customWidth="1"/>
    <col min="16" max="16" width="15.453125" style="9" bestFit="1" customWidth="1"/>
    <col min="17" max="17" width="15.36328125" style="10" bestFit="1" customWidth="1"/>
    <col min="18" max="18" width="10.26953125" style="10" bestFit="1" customWidth="1"/>
    <col min="19" max="19" width="11.26953125" style="11" bestFit="1" customWidth="1"/>
    <col min="20" max="20" width="19.90625" style="11" bestFit="1" customWidth="1"/>
    <col min="21" max="21" width="23.7265625" style="11" bestFit="1" customWidth="1"/>
    <col min="22" max="22" width="20.26953125" style="12" bestFit="1" customWidth="1"/>
    <col min="23" max="23" width="18.1796875" style="13" bestFit="1" customWidth="1"/>
    <col min="24" max="24" width="13.1796875" style="13" bestFit="1" customWidth="1"/>
    <col min="25" max="25" width="15.36328125" style="13" bestFit="1" customWidth="1"/>
    <col min="26" max="26" width="21.453125" bestFit="1" customWidth="1"/>
    <col min="27" max="27" width="8.90625" bestFit="1" customWidth="1"/>
    <col min="28" max="28" width="8.81640625" style="2" bestFit="1" customWidth="1"/>
    <col min="29" max="29" width="7.81640625" bestFit="1" customWidth="1"/>
    <col min="31" max="31" width="15.453125" bestFit="1" customWidth="1"/>
  </cols>
  <sheetData>
    <row r="1" spans="1:32" x14ac:dyDescent="0.35">
      <c r="A1" s="5" t="s">
        <v>0</v>
      </c>
      <c r="B1" s="5" t="s">
        <v>1</v>
      </c>
      <c r="C1" s="6" t="s">
        <v>2</v>
      </c>
      <c r="D1" s="5" t="s">
        <v>3</v>
      </c>
      <c r="E1" s="5" t="s">
        <v>4</v>
      </c>
      <c r="F1" s="6" t="s">
        <v>5</v>
      </c>
      <c r="G1" s="5" t="s">
        <v>6</v>
      </c>
      <c r="H1" s="7" t="s">
        <v>7</v>
      </c>
      <c r="I1" s="7" t="s">
        <v>174</v>
      </c>
      <c r="J1" s="7" t="s">
        <v>8</v>
      </c>
      <c r="K1" s="7" t="s">
        <v>187</v>
      </c>
      <c r="L1" s="7" t="s">
        <v>191</v>
      </c>
      <c r="M1" s="7" t="s">
        <v>192</v>
      </c>
      <c r="N1" s="7" t="s">
        <v>9</v>
      </c>
      <c r="O1" s="7" t="s">
        <v>10</v>
      </c>
      <c r="P1" s="8" t="s">
        <v>11</v>
      </c>
      <c r="Q1" s="9" t="s">
        <v>12</v>
      </c>
      <c r="R1" s="10" t="s">
        <v>13</v>
      </c>
      <c r="S1" s="10" t="s">
        <v>14</v>
      </c>
      <c r="T1" s="11" t="s">
        <v>15</v>
      </c>
      <c r="U1" s="11" t="s">
        <v>16</v>
      </c>
      <c r="V1" s="11" t="s">
        <v>17</v>
      </c>
      <c r="W1" s="12" t="s">
        <v>18</v>
      </c>
      <c r="X1" s="13" t="s">
        <v>19</v>
      </c>
      <c r="Y1" s="13" t="s">
        <v>20</v>
      </c>
      <c r="Z1" s="13" t="s">
        <v>154</v>
      </c>
      <c r="AA1" s="14" t="s">
        <v>21</v>
      </c>
      <c r="AB1" s="14" t="s">
        <v>22</v>
      </c>
      <c r="AC1" s="15" t="s">
        <v>23</v>
      </c>
    </row>
    <row r="2" spans="1:32" x14ac:dyDescent="0.35">
      <c r="A2" s="5" t="s">
        <v>155</v>
      </c>
      <c r="B2" s="5" t="s">
        <v>25</v>
      </c>
      <c r="C2" s="6">
        <v>69.808000000000007</v>
      </c>
      <c r="D2" s="5">
        <v>55</v>
      </c>
      <c r="E2" s="5">
        <v>802</v>
      </c>
      <c r="F2" s="6">
        <v>8661.9968000000008</v>
      </c>
      <c r="G2" s="5" t="s">
        <v>26</v>
      </c>
      <c r="H2" s="7">
        <v>58</v>
      </c>
      <c r="I2" s="7" t="str">
        <f>IF(Table2_1[[#This Row],[Stock levels]]&gt;=71,"OverStocked",IF(Table2_1[[#This Row],[Stock levels]]&gt;=51,"Optimal Stock",IF(Table2_1[[#This Row],[Stock levels]]&gt;=21,"Low stocked","Critical Stock")))</f>
        <v>Optimal Stock</v>
      </c>
      <c r="J2" s="7">
        <v>7</v>
      </c>
      <c r="K2" s="7" t="str">
        <f>IF(Table2_1[[#This Row],[Lead times]]&gt;=20,"High",IF(Table2_1[[#This Row],[Lead times]]&gt;=10,"Medium","Low"))</f>
        <v>Low</v>
      </c>
      <c r="L2" s="7">
        <f>IFERROR(Table2_1[[#This Row],[Order quantities]]/Table2_1[[#This Row],[Stock levels]],0)</f>
        <v>1.6551724137931034</v>
      </c>
      <c r="M2" s="7" t="str">
        <f>IF(Table2_1[[#This Row],[Inventory Movement Index]]&gt;=2,"Fast Moving",IF(Table2_1[[#This Row],[Inventory Movement Index]]&gt;=1,"Normal","Slow Moving"))</f>
        <v>Normal</v>
      </c>
      <c r="N2" s="7">
        <v>96</v>
      </c>
      <c r="O2" s="7">
        <v>4</v>
      </c>
      <c r="P2" s="8" t="s">
        <v>27</v>
      </c>
      <c r="Q2" s="9">
        <v>2.9565999999999999</v>
      </c>
      <c r="R2" s="10" t="s">
        <v>28</v>
      </c>
      <c r="S2" s="10" t="s">
        <v>29</v>
      </c>
      <c r="T2" s="11">
        <v>29</v>
      </c>
      <c r="U2" s="11">
        <v>215</v>
      </c>
      <c r="V2" s="11">
        <v>29</v>
      </c>
      <c r="W2" s="12">
        <v>46.279899999999998</v>
      </c>
      <c r="X2" s="13" t="s">
        <v>30</v>
      </c>
      <c r="Y2" s="13">
        <v>0.22641</v>
      </c>
      <c r="Z2" s="13">
        <v>22.64</v>
      </c>
      <c r="AA2" s="14" t="s">
        <v>31</v>
      </c>
      <c r="AB2" s="14" t="s">
        <v>32</v>
      </c>
      <c r="AC2" s="15">
        <v>187.75210000000001</v>
      </c>
      <c r="AF2" s="5" t="s">
        <v>161</v>
      </c>
    </row>
    <row r="3" spans="1:32" x14ac:dyDescent="0.35">
      <c r="A3" s="5" t="s">
        <v>156</v>
      </c>
      <c r="B3" s="5" t="s">
        <v>34</v>
      </c>
      <c r="C3" s="6">
        <v>14.843500000000001</v>
      </c>
      <c r="D3" s="5">
        <v>95</v>
      </c>
      <c r="E3" s="5">
        <v>736</v>
      </c>
      <c r="F3" s="6">
        <v>7460.9000999999998</v>
      </c>
      <c r="G3" s="5" t="s">
        <v>35</v>
      </c>
      <c r="H3" s="7">
        <v>53</v>
      </c>
      <c r="I3" s="7" t="str">
        <f>IF(Table2_1[[#This Row],[Stock levels]]&gt;=71,"OverStocked",IF(Table2_1[[#This Row],[Stock levels]]&gt;=51,"Optimal Stock",IF(Table2_1[[#This Row],[Stock levels]]&gt;=21,"Low stocked","Critical Stock")))</f>
        <v>Optimal Stock</v>
      </c>
      <c r="J3" s="7">
        <v>30</v>
      </c>
      <c r="K3" s="7" t="str">
        <f>IF(Table2_1[[#This Row],[Lead times]]&gt;=20,"High",IF(Table2_1[[#This Row],[Lead times]]&gt;=10,"Medium","Low"))</f>
        <v>High</v>
      </c>
      <c r="L3" s="7">
        <f>IFERROR(Table2_1[[#This Row],[Order quantities]]/Table2_1[[#This Row],[Stock levels]],0)</f>
        <v>0.69811320754716977</v>
      </c>
      <c r="M3" s="7" t="str">
        <f>IF(Table2_1[[#This Row],[Inventory Movement Index]]&gt;=2,"Fast Moving",IF(Table2_1[[#This Row],[Inventory Movement Index]]&gt;=1,"Normal","Slow Moving"))</f>
        <v>Slow Moving</v>
      </c>
      <c r="N3" s="7">
        <v>37</v>
      </c>
      <c r="O3" s="7">
        <v>2</v>
      </c>
      <c r="P3" s="8" t="s">
        <v>36</v>
      </c>
      <c r="Q3" s="9">
        <v>9.7165999999999997</v>
      </c>
      <c r="R3" s="10" t="s">
        <v>28</v>
      </c>
      <c r="S3" s="10" t="s">
        <v>29</v>
      </c>
      <c r="T3" s="11">
        <v>23</v>
      </c>
      <c r="U3" s="11">
        <v>517</v>
      </c>
      <c r="V3" s="11">
        <v>30</v>
      </c>
      <c r="W3" s="12">
        <v>33.616799999999998</v>
      </c>
      <c r="X3" s="13" t="s">
        <v>30</v>
      </c>
      <c r="Y3" s="13">
        <v>4.8540679999999998</v>
      </c>
      <c r="Z3" s="13">
        <v>485.41</v>
      </c>
      <c r="AA3" s="14" t="s">
        <v>31</v>
      </c>
      <c r="AB3" s="14" t="s">
        <v>32</v>
      </c>
      <c r="AC3" s="15">
        <v>503.06560000000002</v>
      </c>
      <c r="AF3" s="8" t="s">
        <v>162</v>
      </c>
    </row>
    <row r="4" spans="1:32" x14ac:dyDescent="0.35">
      <c r="A4" s="5" t="s">
        <v>155</v>
      </c>
      <c r="B4" s="5" t="s">
        <v>37</v>
      </c>
      <c r="C4" s="6">
        <v>11.319699999999999</v>
      </c>
      <c r="D4" s="5">
        <v>34</v>
      </c>
      <c r="E4" s="5">
        <v>8</v>
      </c>
      <c r="F4" s="6">
        <v>9577.7495999999992</v>
      </c>
      <c r="G4" s="5" t="s">
        <v>38</v>
      </c>
      <c r="H4" s="7">
        <v>1</v>
      </c>
      <c r="I4" s="7" t="str">
        <f>IF(Table2_1[[#This Row],[Stock levels]]&gt;=71,"OverStocked",IF(Table2_1[[#This Row],[Stock levels]]&gt;=51,"Optimal Stock",IF(Table2_1[[#This Row],[Stock levels]]&gt;=21,"Low stocked","Critical Stock")))</f>
        <v>Critical Stock</v>
      </c>
      <c r="J4" s="7">
        <v>10</v>
      </c>
      <c r="K4" s="7" t="str">
        <f>IF(Table2_1[[#This Row],[Lead times]]&gt;=20,"High",IF(Table2_1[[#This Row],[Lead times]]&gt;=10,"Medium","Low"))</f>
        <v>Medium</v>
      </c>
      <c r="L4" s="7">
        <f>IFERROR(Table2_1[[#This Row],[Order quantities]]/Table2_1[[#This Row],[Stock levels]],0)</f>
        <v>88</v>
      </c>
      <c r="M4" s="7" t="str">
        <f>IF(Table2_1[[#This Row],[Inventory Movement Index]]&gt;=2,"Fast Moving",IF(Table2_1[[#This Row],[Inventory Movement Index]]&gt;=1,"Normal","Slow Moving"))</f>
        <v>Fast Moving</v>
      </c>
      <c r="N4" s="7">
        <v>88</v>
      </c>
      <c r="O4" s="7">
        <v>2</v>
      </c>
      <c r="P4" s="8" t="s">
        <v>27</v>
      </c>
      <c r="Q4" s="9">
        <v>8.0545000000000009</v>
      </c>
      <c r="R4" s="10" t="s">
        <v>39</v>
      </c>
      <c r="S4" s="10" t="s">
        <v>29</v>
      </c>
      <c r="T4" s="11">
        <v>12</v>
      </c>
      <c r="U4" s="11">
        <v>971</v>
      </c>
      <c r="V4" s="11">
        <v>27</v>
      </c>
      <c r="W4" s="12">
        <v>30.687999999999999</v>
      </c>
      <c r="X4" s="13" t="s">
        <v>30</v>
      </c>
      <c r="Y4" s="13">
        <v>4.5805930000000004</v>
      </c>
      <c r="Z4" s="13">
        <v>458.06</v>
      </c>
      <c r="AA4" s="14" t="s">
        <v>40</v>
      </c>
      <c r="AB4" s="14" t="s">
        <v>41</v>
      </c>
      <c r="AC4" s="15">
        <v>141.9203</v>
      </c>
      <c r="AF4" s="10" t="s">
        <v>163</v>
      </c>
    </row>
    <row r="5" spans="1:32" x14ac:dyDescent="0.35">
      <c r="A5" s="5" t="s">
        <v>156</v>
      </c>
      <c r="B5" s="5" t="s">
        <v>42</v>
      </c>
      <c r="C5" s="6">
        <v>61.1633</v>
      </c>
      <c r="D5" s="5">
        <v>68</v>
      </c>
      <c r="E5" s="5">
        <v>83</v>
      </c>
      <c r="F5" s="6">
        <v>7766.8364000000001</v>
      </c>
      <c r="G5" s="5" t="s">
        <v>26</v>
      </c>
      <c r="H5" s="7">
        <v>23</v>
      </c>
      <c r="I5" s="7" t="str">
        <f>IF(Table2_1[[#This Row],[Stock levels]]&gt;=71,"OverStocked",IF(Table2_1[[#This Row],[Stock levels]]&gt;=51,"Optimal Stock",IF(Table2_1[[#This Row],[Stock levels]]&gt;=21,"Low stocked","Critical Stock")))</f>
        <v>Low stocked</v>
      </c>
      <c r="J5" s="7">
        <v>13</v>
      </c>
      <c r="K5" s="7" t="str">
        <f>IF(Table2_1[[#This Row],[Lead times]]&gt;=20,"High",IF(Table2_1[[#This Row],[Lead times]]&gt;=10,"Medium","Low"))</f>
        <v>Medium</v>
      </c>
      <c r="L5" s="7">
        <f>IFERROR(Table2_1[[#This Row],[Order quantities]]/Table2_1[[#This Row],[Stock levels]],0)</f>
        <v>2.5652173913043477</v>
      </c>
      <c r="M5" s="7" t="str">
        <f>IF(Table2_1[[#This Row],[Inventory Movement Index]]&gt;=2,"Fast Moving",IF(Table2_1[[#This Row],[Inventory Movement Index]]&gt;=1,"Normal","Slow Moving"))</f>
        <v>Fast Moving</v>
      </c>
      <c r="N5" s="7">
        <v>59</v>
      </c>
      <c r="O5" s="7">
        <v>6</v>
      </c>
      <c r="P5" s="8" t="s">
        <v>43</v>
      </c>
      <c r="Q5" s="9">
        <v>1.7296</v>
      </c>
      <c r="R5" s="10" t="s">
        <v>44</v>
      </c>
      <c r="S5" s="10" t="s">
        <v>45</v>
      </c>
      <c r="T5" s="11">
        <v>24</v>
      </c>
      <c r="U5" s="11">
        <v>937</v>
      </c>
      <c r="V5" s="11">
        <v>18</v>
      </c>
      <c r="W5" s="12">
        <v>35.624699999999997</v>
      </c>
      <c r="X5" s="13" t="s">
        <v>46</v>
      </c>
      <c r="Y5" s="13">
        <v>4.7466489999999997</v>
      </c>
      <c r="Z5" s="13">
        <v>474.66</v>
      </c>
      <c r="AA5" s="14" t="s">
        <v>47</v>
      </c>
      <c r="AB5" s="14" t="s">
        <v>48</v>
      </c>
      <c r="AC5" s="15">
        <v>254.77619999999999</v>
      </c>
      <c r="AF5" s="13" t="s">
        <v>164</v>
      </c>
    </row>
    <row r="6" spans="1:32" x14ac:dyDescent="0.35">
      <c r="A6" s="5" t="s">
        <v>156</v>
      </c>
      <c r="B6" s="5" t="s">
        <v>49</v>
      </c>
      <c r="C6" s="6">
        <v>4.8055000000000003</v>
      </c>
      <c r="D6" s="5">
        <v>26</v>
      </c>
      <c r="E6" s="5">
        <v>871</v>
      </c>
      <c r="F6" s="6">
        <v>2686.5052000000001</v>
      </c>
      <c r="G6" s="5" t="s">
        <v>26</v>
      </c>
      <c r="H6" s="7">
        <v>5</v>
      </c>
      <c r="I6" s="7" t="str">
        <f>IF(Table2_1[[#This Row],[Stock levels]]&gt;=71,"OverStocked",IF(Table2_1[[#This Row],[Stock levels]]&gt;=51,"Optimal Stock",IF(Table2_1[[#This Row],[Stock levels]]&gt;=21,"Low stocked","Critical Stock")))</f>
        <v>Critical Stock</v>
      </c>
      <c r="J6" s="7">
        <v>3</v>
      </c>
      <c r="K6" s="7" t="str">
        <f>IF(Table2_1[[#This Row],[Lead times]]&gt;=20,"High",IF(Table2_1[[#This Row],[Lead times]]&gt;=10,"Medium","Low"))</f>
        <v>Low</v>
      </c>
      <c r="L6" s="7">
        <f>IFERROR(Table2_1[[#This Row],[Order quantities]]/Table2_1[[#This Row],[Stock levels]],0)</f>
        <v>11.2</v>
      </c>
      <c r="M6" s="7" t="str">
        <f>IF(Table2_1[[#This Row],[Inventory Movement Index]]&gt;=2,"Fast Moving",IF(Table2_1[[#This Row],[Inventory Movement Index]]&gt;=1,"Normal","Slow Moving"))</f>
        <v>Fast Moving</v>
      </c>
      <c r="N6" s="7">
        <v>56</v>
      </c>
      <c r="O6" s="7">
        <v>8</v>
      </c>
      <c r="P6" s="8" t="s">
        <v>36</v>
      </c>
      <c r="Q6" s="9">
        <v>3.8904999999999998</v>
      </c>
      <c r="R6" s="10" t="s">
        <v>39</v>
      </c>
      <c r="S6" s="10" t="s">
        <v>50</v>
      </c>
      <c r="T6" s="11">
        <v>5</v>
      </c>
      <c r="U6" s="11">
        <v>414</v>
      </c>
      <c r="V6" s="11">
        <v>3</v>
      </c>
      <c r="W6" s="12">
        <v>92.065200000000004</v>
      </c>
      <c r="X6" s="13" t="s">
        <v>46</v>
      </c>
      <c r="Y6" s="13">
        <v>3.1455799999999998</v>
      </c>
      <c r="Z6" s="13">
        <v>314.56</v>
      </c>
      <c r="AA6" s="14" t="s">
        <v>40</v>
      </c>
      <c r="AB6" s="14" t="s">
        <v>48</v>
      </c>
      <c r="AC6" s="15">
        <v>923.44060000000002</v>
      </c>
      <c r="AF6" s="14" t="s">
        <v>165</v>
      </c>
    </row>
    <row r="7" spans="1:32" x14ac:dyDescent="0.35">
      <c r="A7" s="5" t="s">
        <v>155</v>
      </c>
      <c r="B7" s="5" t="s">
        <v>51</v>
      </c>
      <c r="C7" s="6">
        <v>1.7</v>
      </c>
      <c r="D7" s="5">
        <v>87</v>
      </c>
      <c r="E7" s="5">
        <v>147</v>
      </c>
      <c r="F7" s="6">
        <v>2828.3487</v>
      </c>
      <c r="G7" s="5" t="s">
        <v>26</v>
      </c>
      <c r="H7" s="7">
        <v>90</v>
      </c>
      <c r="I7" s="7" t="str">
        <f>IF(Table2_1[[#This Row],[Stock levels]]&gt;=71,"OverStocked",IF(Table2_1[[#This Row],[Stock levels]]&gt;=51,"Optimal Stock",IF(Table2_1[[#This Row],[Stock levels]]&gt;=21,"Low stocked","Critical Stock")))</f>
        <v>OverStocked</v>
      </c>
      <c r="J7" s="7">
        <v>27</v>
      </c>
      <c r="K7" s="7" t="str">
        <f>IF(Table2_1[[#This Row],[Lead times]]&gt;=20,"High",IF(Table2_1[[#This Row],[Lead times]]&gt;=10,"Medium","Low"))</f>
        <v>High</v>
      </c>
      <c r="L7" s="7">
        <f>IFERROR(Table2_1[[#This Row],[Order quantities]]/Table2_1[[#This Row],[Stock levels]],0)</f>
        <v>0.73333333333333328</v>
      </c>
      <c r="M7" s="7" t="str">
        <f>IF(Table2_1[[#This Row],[Inventory Movement Index]]&gt;=2,"Fast Moving",IF(Table2_1[[#This Row],[Inventory Movement Index]]&gt;=1,"Normal","Slow Moving"))</f>
        <v>Slow Moving</v>
      </c>
      <c r="N7" s="7">
        <v>66</v>
      </c>
      <c r="O7" s="7">
        <v>3</v>
      </c>
      <c r="P7" s="8" t="s">
        <v>27</v>
      </c>
      <c r="Q7" s="9">
        <v>4.4440999999999997</v>
      </c>
      <c r="R7" s="10" t="s">
        <v>52</v>
      </c>
      <c r="S7" s="10" t="s">
        <v>53</v>
      </c>
      <c r="T7" s="11">
        <v>10</v>
      </c>
      <c r="U7" s="11">
        <v>104</v>
      </c>
      <c r="V7" s="11">
        <v>17</v>
      </c>
      <c r="W7" s="12">
        <v>56.766500000000001</v>
      </c>
      <c r="X7" s="13" t="s">
        <v>46</v>
      </c>
      <c r="Y7" s="13">
        <v>2.7791939999999999</v>
      </c>
      <c r="Z7" s="13">
        <v>277.92</v>
      </c>
      <c r="AA7" s="14" t="s">
        <v>31</v>
      </c>
      <c r="AB7" s="14" t="s">
        <v>48</v>
      </c>
      <c r="AC7" s="15">
        <v>235.46119999999999</v>
      </c>
    </row>
    <row r="8" spans="1:32" x14ac:dyDescent="0.35">
      <c r="A8" s="5" t="s">
        <v>156</v>
      </c>
      <c r="B8" s="5" t="s">
        <v>54</v>
      </c>
      <c r="C8" s="6">
        <v>4.0782999999999996</v>
      </c>
      <c r="D8" s="5">
        <v>48</v>
      </c>
      <c r="E8" s="5">
        <v>65</v>
      </c>
      <c r="F8" s="6">
        <v>7823.4766</v>
      </c>
      <c r="G8" s="5" t="s">
        <v>55</v>
      </c>
      <c r="H8" s="7">
        <v>11</v>
      </c>
      <c r="I8" s="7" t="str">
        <f>IF(Table2_1[[#This Row],[Stock levels]]&gt;=71,"OverStocked",IF(Table2_1[[#This Row],[Stock levels]]&gt;=51,"Optimal Stock",IF(Table2_1[[#This Row],[Stock levels]]&gt;=21,"Low stocked","Critical Stock")))</f>
        <v>Critical Stock</v>
      </c>
      <c r="J8" s="7">
        <v>15</v>
      </c>
      <c r="K8" s="7" t="str">
        <f>IF(Table2_1[[#This Row],[Lead times]]&gt;=20,"High",IF(Table2_1[[#This Row],[Lead times]]&gt;=10,"Medium","Low"))</f>
        <v>Medium</v>
      </c>
      <c r="L8" s="7">
        <f>IFERROR(Table2_1[[#This Row],[Order quantities]]/Table2_1[[#This Row],[Stock levels]],0)</f>
        <v>5.2727272727272725</v>
      </c>
      <c r="M8" s="7" t="str">
        <f>IF(Table2_1[[#This Row],[Inventory Movement Index]]&gt;=2,"Fast Moving",IF(Table2_1[[#This Row],[Inventory Movement Index]]&gt;=1,"Normal","Slow Moving"))</f>
        <v>Fast Moving</v>
      </c>
      <c r="N8" s="7">
        <v>58</v>
      </c>
      <c r="O8" s="7">
        <v>8</v>
      </c>
      <c r="P8" s="8" t="s">
        <v>43</v>
      </c>
      <c r="Q8" s="9">
        <v>3.8807999999999998</v>
      </c>
      <c r="R8" s="10" t="s">
        <v>28</v>
      </c>
      <c r="S8" s="10" t="s">
        <v>45</v>
      </c>
      <c r="T8" s="11">
        <v>14</v>
      </c>
      <c r="U8" s="11">
        <v>314</v>
      </c>
      <c r="V8" s="11">
        <v>24</v>
      </c>
      <c r="W8" s="12">
        <v>1.0851</v>
      </c>
      <c r="X8" s="13" t="s">
        <v>30</v>
      </c>
      <c r="Y8" s="13">
        <v>1.0009110000000001</v>
      </c>
      <c r="Z8" s="13">
        <v>100.09</v>
      </c>
      <c r="AA8" s="14" t="s">
        <v>56</v>
      </c>
      <c r="AB8" s="14" t="s">
        <v>48</v>
      </c>
      <c r="AC8" s="15">
        <v>134.3691</v>
      </c>
    </row>
    <row r="9" spans="1:32" x14ac:dyDescent="0.35">
      <c r="A9" s="5" t="s">
        <v>157</v>
      </c>
      <c r="B9" s="5" t="s">
        <v>58</v>
      </c>
      <c r="C9" s="6">
        <v>42.958399999999997</v>
      </c>
      <c r="D9" s="5">
        <v>59</v>
      </c>
      <c r="E9" s="5">
        <v>426</v>
      </c>
      <c r="F9" s="6">
        <v>8496.1038000000008</v>
      </c>
      <c r="G9" s="5" t="s">
        <v>35</v>
      </c>
      <c r="H9" s="7">
        <v>93</v>
      </c>
      <c r="I9" s="7" t="str">
        <f>IF(Table2_1[[#This Row],[Stock levels]]&gt;=71,"OverStocked",IF(Table2_1[[#This Row],[Stock levels]]&gt;=51,"Optimal Stock",IF(Table2_1[[#This Row],[Stock levels]]&gt;=21,"Low stocked","Critical Stock")))</f>
        <v>OverStocked</v>
      </c>
      <c r="J9" s="7">
        <v>17</v>
      </c>
      <c r="K9" s="7" t="str">
        <f>IF(Table2_1[[#This Row],[Lead times]]&gt;=20,"High",IF(Table2_1[[#This Row],[Lead times]]&gt;=10,"Medium","Low"))</f>
        <v>Medium</v>
      </c>
      <c r="L9" s="7">
        <f>IFERROR(Table2_1[[#This Row],[Order quantities]]/Table2_1[[#This Row],[Stock levels]],0)</f>
        <v>0.11827956989247312</v>
      </c>
      <c r="M9" s="7" t="str">
        <f>IF(Table2_1[[#This Row],[Inventory Movement Index]]&gt;=2,"Fast Moving",IF(Table2_1[[#This Row],[Inventory Movement Index]]&gt;=1,"Normal","Slow Moving"))</f>
        <v>Slow Moving</v>
      </c>
      <c r="N9" s="7">
        <v>11</v>
      </c>
      <c r="O9" s="7">
        <v>1</v>
      </c>
      <c r="P9" s="8" t="s">
        <v>27</v>
      </c>
      <c r="Q9" s="9">
        <v>2.3483000000000001</v>
      </c>
      <c r="R9" s="10" t="s">
        <v>52</v>
      </c>
      <c r="S9" s="10" t="s">
        <v>53</v>
      </c>
      <c r="T9" s="11">
        <v>22</v>
      </c>
      <c r="U9" s="11">
        <v>564</v>
      </c>
      <c r="V9" s="11">
        <v>1</v>
      </c>
      <c r="W9" s="12">
        <v>99.466099999999997</v>
      </c>
      <c r="X9" s="13" t="s">
        <v>46</v>
      </c>
      <c r="Y9" s="13">
        <v>0.398177</v>
      </c>
      <c r="Z9" s="13">
        <v>39.82</v>
      </c>
      <c r="AA9" s="14" t="s">
        <v>31</v>
      </c>
      <c r="AB9" s="14" t="s">
        <v>41</v>
      </c>
      <c r="AC9" s="15">
        <v>802.05629999999996</v>
      </c>
    </row>
    <row r="10" spans="1:32" x14ac:dyDescent="0.35">
      <c r="A10" s="5" t="s">
        <v>157</v>
      </c>
      <c r="B10" s="5" t="s">
        <v>59</v>
      </c>
      <c r="C10" s="6">
        <v>68.717600000000004</v>
      </c>
      <c r="D10" s="5">
        <v>78</v>
      </c>
      <c r="E10" s="5">
        <v>150</v>
      </c>
      <c r="F10" s="6">
        <v>7517.3631999999998</v>
      </c>
      <c r="G10" s="5" t="s">
        <v>35</v>
      </c>
      <c r="H10" s="7">
        <v>5</v>
      </c>
      <c r="I10" s="7" t="str">
        <f>IF(Table2_1[[#This Row],[Stock levels]]&gt;=71,"OverStocked",IF(Table2_1[[#This Row],[Stock levels]]&gt;=51,"Optimal Stock",IF(Table2_1[[#This Row],[Stock levels]]&gt;=21,"Low stocked","Critical Stock")))</f>
        <v>Critical Stock</v>
      </c>
      <c r="J10" s="7">
        <v>10</v>
      </c>
      <c r="K10" s="7" t="str">
        <f>IF(Table2_1[[#This Row],[Lead times]]&gt;=20,"High",IF(Table2_1[[#This Row],[Lead times]]&gt;=10,"Medium","Low"))</f>
        <v>Medium</v>
      </c>
      <c r="L10" s="7">
        <f>IFERROR(Table2_1[[#This Row],[Order quantities]]/Table2_1[[#This Row],[Stock levels]],0)</f>
        <v>3</v>
      </c>
      <c r="M10" s="7" t="str">
        <f>IF(Table2_1[[#This Row],[Inventory Movement Index]]&gt;=2,"Fast Moving",IF(Table2_1[[#This Row],[Inventory Movement Index]]&gt;=1,"Normal","Slow Moving"))</f>
        <v>Fast Moving</v>
      </c>
      <c r="N10" s="7">
        <v>15</v>
      </c>
      <c r="O10" s="7">
        <v>7</v>
      </c>
      <c r="P10" s="8" t="s">
        <v>43</v>
      </c>
      <c r="Q10" s="9">
        <v>3.4047000000000001</v>
      </c>
      <c r="R10" s="10" t="s">
        <v>52</v>
      </c>
      <c r="S10" s="10" t="s">
        <v>29</v>
      </c>
      <c r="T10" s="11">
        <v>13</v>
      </c>
      <c r="U10" s="11">
        <v>769</v>
      </c>
      <c r="V10" s="11">
        <v>8</v>
      </c>
      <c r="W10" s="12">
        <v>11.423</v>
      </c>
      <c r="X10" s="13" t="s">
        <v>30</v>
      </c>
      <c r="Y10" s="13">
        <v>2.7098629999999999</v>
      </c>
      <c r="Z10" s="13">
        <v>270.99</v>
      </c>
      <c r="AA10" s="14" t="s">
        <v>56</v>
      </c>
      <c r="AB10" s="14" t="s">
        <v>32</v>
      </c>
      <c r="AC10" s="15">
        <v>505.55709999999999</v>
      </c>
    </row>
    <row r="11" spans="1:32" x14ac:dyDescent="0.35">
      <c r="A11" s="5" t="s">
        <v>156</v>
      </c>
      <c r="B11" s="5" t="s">
        <v>60</v>
      </c>
      <c r="C11" s="6">
        <v>64.015699999999995</v>
      </c>
      <c r="D11" s="5">
        <v>35</v>
      </c>
      <c r="E11" s="5">
        <v>980</v>
      </c>
      <c r="F11" s="6">
        <v>4971.1459999999997</v>
      </c>
      <c r="G11" s="5" t="s">
        <v>38</v>
      </c>
      <c r="H11" s="7">
        <v>14</v>
      </c>
      <c r="I11" s="7" t="str">
        <f>IF(Table2_1[[#This Row],[Stock levels]]&gt;=71,"OverStocked",IF(Table2_1[[#This Row],[Stock levels]]&gt;=51,"Optimal Stock",IF(Table2_1[[#This Row],[Stock levels]]&gt;=21,"Low stocked","Critical Stock")))</f>
        <v>Critical Stock</v>
      </c>
      <c r="J11" s="7">
        <v>27</v>
      </c>
      <c r="K11" s="7" t="str">
        <f>IF(Table2_1[[#This Row],[Lead times]]&gt;=20,"High",IF(Table2_1[[#This Row],[Lead times]]&gt;=10,"Medium","Low"))</f>
        <v>High</v>
      </c>
      <c r="L11" s="7">
        <f>IFERROR(Table2_1[[#This Row],[Order quantities]]/Table2_1[[#This Row],[Stock levels]],0)</f>
        <v>5.9285714285714288</v>
      </c>
      <c r="M11" s="7" t="str">
        <f>IF(Table2_1[[#This Row],[Inventory Movement Index]]&gt;=2,"Fast Moving",IF(Table2_1[[#This Row],[Inventory Movement Index]]&gt;=1,"Normal","Slow Moving"))</f>
        <v>Fast Moving</v>
      </c>
      <c r="N11" s="7">
        <v>83</v>
      </c>
      <c r="O11" s="7">
        <v>1</v>
      </c>
      <c r="P11" s="8" t="s">
        <v>36</v>
      </c>
      <c r="Q11" s="9">
        <v>7.1665999999999999</v>
      </c>
      <c r="R11" s="10" t="s">
        <v>61</v>
      </c>
      <c r="S11" s="10" t="s">
        <v>62</v>
      </c>
      <c r="T11" s="11">
        <v>29</v>
      </c>
      <c r="U11" s="11">
        <v>963</v>
      </c>
      <c r="V11" s="11">
        <v>23</v>
      </c>
      <c r="W11" s="12">
        <v>47.957599999999999</v>
      </c>
      <c r="X11" s="13" t="s">
        <v>30</v>
      </c>
      <c r="Y11" s="13">
        <v>3.844614</v>
      </c>
      <c r="Z11" s="13">
        <v>384.46</v>
      </c>
      <c r="AA11" s="14" t="s">
        <v>47</v>
      </c>
      <c r="AB11" s="14" t="s">
        <v>32</v>
      </c>
      <c r="AC11" s="15">
        <v>995.92949999999996</v>
      </c>
    </row>
    <row r="12" spans="1:32" x14ac:dyDescent="0.35">
      <c r="A12" s="5" t="s">
        <v>156</v>
      </c>
      <c r="B12" s="5" t="s">
        <v>63</v>
      </c>
      <c r="C12" s="6">
        <v>15.707800000000001</v>
      </c>
      <c r="D12" s="5">
        <v>11</v>
      </c>
      <c r="E12" s="5">
        <v>996</v>
      </c>
      <c r="F12" s="6">
        <v>2330.9657999999999</v>
      </c>
      <c r="G12" s="5" t="s">
        <v>26</v>
      </c>
      <c r="H12" s="7">
        <v>51</v>
      </c>
      <c r="I12" s="7" t="str">
        <f>IF(Table2_1[[#This Row],[Stock levels]]&gt;=71,"OverStocked",IF(Table2_1[[#This Row],[Stock levels]]&gt;=51,"Optimal Stock",IF(Table2_1[[#This Row],[Stock levels]]&gt;=21,"Low stocked","Critical Stock")))</f>
        <v>Optimal Stock</v>
      </c>
      <c r="J12" s="7">
        <v>13</v>
      </c>
      <c r="K12" s="7" t="str">
        <f>IF(Table2_1[[#This Row],[Lead times]]&gt;=20,"High",IF(Table2_1[[#This Row],[Lead times]]&gt;=10,"Medium","Low"))</f>
        <v>Medium</v>
      </c>
      <c r="L12" s="7">
        <f>IFERROR(Table2_1[[#This Row],[Order quantities]]/Table2_1[[#This Row],[Stock levels]],0)</f>
        <v>1.5686274509803921</v>
      </c>
      <c r="M12" s="7" t="str">
        <f>IF(Table2_1[[#This Row],[Inventory Movement Index]]&gt;=2,"Fast Moving",IF(Table2_1[[#This Row],[Inventory Movement Index]]&gt;=1,"Normal","Slow Moving"))</f>
        <v>Normal</v>
      </c>
      <c r="N12" s="7">
        <v>80</v>
      </c>
      <c r="O12" s="7">
        <v>2</v>
      </c>
      <c r="P12" s="8" t="s">
        <v>43</v>
      </c>
      <c r="Q12" s="9">
        <v>8.6731999999999996</v>
      </c>
      <c r="R12" s="10" t="s">
        <v>44</v>
      </c>
      <c r="S12" s="10" t="s">
        <v>45</v>
      </c>
      <c r="T12" s="11">
        <v>18</v>
      </c>
      <c r="U12" s="11">
        <v>830</v>
      </c>
      <c r="V12" s="11">
        <v>5</v>
      </c>
      <c r="W12" s="12">
        <v>96.5274</v>
      </c>
      <c r="X12" s="13" t="s">
        <v>64</v>
      </c>
      <c r="Y12" s="13">
        <v>1.727314</v>
      </c>
      <c r="Z12" s="13">
        <v>172.73</v>
      </c>
      <c r="AA12" s="14" t="s">
        <v>31</v>
      </c>
      <c r="AB12" s="14" t="s">
        <v>32</v>
      </c>
      <c r="AC12" s="15">
        <v>806.10320000000002</v>
      </c>
    </row>
    <row r="13" spans="1:32" x14ac:dyDescent="0.35">
      <c r="A13" s="5" t="s">
        <v>156</v>
      </c>
      <c r="B13" s="5" t="s">
        <v>65</v>
      </c>
      <c r="C13" s="6">
        <v>90.635499999999993</v>
      </c>
      <c r="D13" s="5">
        <v>95</v>
      </c>
      <c r="E13" s="5">
        <v>960</v>
      </c>
      <c r="F13" s="6">
        <v>6099.9440999999997</v>
      </c>
      <c r="G13" s="5" t="s">
        <v>35</v>
      </c>
      <c r="H13" s="7">
        <v>46</v>
      </c>
      <c r="I13" s="7" t="str">
        <f>IF(Table2_1[[#This Row],[Stock levels]]&gt;=71,"OverStocked",IF(Table2_1[[#This Row],[Stock levels]]&gt;=51,"Optimal Stock",IF(Table2_1[[#This Row],[Stock levels]]&gt;=21,"Low stocked","Critical Stock")))</f>
        <v>Low stocked</v>
      </c>
      <c r="J13" s="7">
        <v>23</v>
      </c>
      <c r="K13" s="7" t="str">
        <f>IF(Table2_1[[#This Row],[Lead times]]&gt;=20,"High",IF(Table2_1[[#This Row],[Lead times]]&gt;=10,"Medium","Low"))</f>
        <v>High</v>
      </c>
      <c r="L13" s="7">
        <f>IFERROR(Table2_1[[#This Row],[Order quantities]]/Table2_1[[#This Row],[Stock levels]],0)</f>
        <v>1.3043478260869565</v>
      </c>
      <c r="M13" s="7" t="str">
        <f>IF(Table2_1[[#This Row],[Inventory Movement Index]]&gt;=2,"Fast Moving",IF(Table2_1[[#This Row],[Inventory Movement Index]]&gt;=1,"Normal","Slow Moving"))</f>
        <v>Normal</v>
      </c>
      <c r="N13" s="7">
        <v>60</v>
      </c>
      <c r="O13" s="7">
        <v>1</v>
      </c>
      <c r="P13" s="8" t="s">
        <v>36</v>
      </c>
      <c r="Q13" s="9">
        <v>4.5239000000000003</v>
      </c>
      <c r="R13" s="10" t="s">
        <v>61</v>
      </c>
      <c r="S13" s="10" t="s">
        <v>45</v>
      </c>
      <c r="T13" s="11">
        <v>28</v>
      </c>
      <c r="U13" s="11">
        <v>362</v>
      </c>
      <c r="V13" s="11">
        <v>11</v>
      </c>
      <c r="W13" s="12">
        <v>27.592400000000001</v>
      </c>
      <c r="X13" s="13" t="s">
        <v>30</v>
      </c>
      <c r="Y13" s="13">
        <v>2.1170000000000001E-2</v>
      </c>
      <c r="Z13" s="13">
        <v>2.12</v>
      </c>
      <c r="AA13" s="14" t="s">
        <v>40</v>
      </c>
      <c r="AB13" s="14" t="s">
        <v>48</v>
      </c>
      <c r="AC13" s="15">
        <v>126.723</v>
      </c>
    </row>
    <row r="14" spans="1:32" x14ac:dyDescent="0.35">
      <c r="A14" s="5" t="s">
        <v>155</v>
      </c>
      <c r="B14" s="5" t="s">
        <v>66</v>
      </c>
      <c r="C14" s="6">
        <v>71.213399999999993</v>
      </c>
      <c r="D14" s="5">
        <v>41</v>
      </c>
      <c r="E14" s="5">
        <v>336</v>
      </c>
      <c r="F14" s="6">
        <v>2873.7413999999999</v>
      </c>
      <c r="G14" s="5" t="s">
        <v>38</v>
      </c>
      <c r="H14" s="7">
        <v>100</v>
      </c>
      <c r="I14" s="7" t="str">
        <f>IF(Table2_1[[#This Row],[Stock levels]]&gt;=71,"OverStocked",IF(Table2_1[[#This Row],[Stock levels]]&gt;=51,"Optimal Stock",IF(Table2_1[[#This Row],[Stock levels]]&gt;=21,"Low stocked","Critical Stock")))</f>
        <v>OverStocked</v>
      </c>
      <c r="J14" s="7">
        <v>30</v>
      </c>
      <c r="K14" s="7" t="str">
        <f>IF(Table2_1[[#This Row],[Lead times]]&gt;=20,"High",IF(Table2_1[[#This Row],[Lead times]]&gt;=10,"Medium","Low"))</f>
        <v>High</v>
      </c>
      <c r="L14" s="7">
        <f>IFERROR(Table2_1[[#This Row],[Order quantities]]/Table2_1[[#This Row],[Stock levels]],0)</f>
        <v>0.85</v>
      </c>
      <c r="M14" s="7" t="str">
        <f>IF(Table2_1[[#This Row],[Inventory Movement Index]]&gt;=2,"Fast Moving",IF(Table2_1[[#This Row],[Inventory Movement Index]]&gt;=1,"Normal","Slow Moving"))</f>
        <v>Slow Moving</v>
      </c>
      <c r="N14" s="7">
        <v>85</v>
      </c>
      <c r="O14" s="7">
        <v>4</v>
      </c>
      <c r="P14" s="8" t="s">
        <v>36</v>
      </c>
      <c r="Q14" s="9">
        <v>1.3252999999999999</v>
      </c>
      <c r="R14" s="10" t="s">
        <v>52</v>
      </c>
      <c r="S14" s="10" t="s">
        <v>45</v>
      </c>
      <c r="T14" s="11">
        <v>3</v>
      </c>
      <c r="U14" s="11">
        <v>563</v>
      </c>
      <c r="V14" s="11">
        <v>3</v>
      </c>
      <c r="W14" s="12">
        <v>32.321300000000001</v>
      </c>
      <c r="X14" s="13" t="s">
        <v>46</v>
      </c>
      <c r="Y14" s="13">
        <v>2.161254</v>
      </c>
      <c r="Z14" s="13">
        <v>216.13</v>
      </c>
      <c r="AA14" s="14" t="s">
        <v>31</v>
      </c>
      <c r="AB14" s="14" t="s">
        <v>32</v>
      </c>
      <c r="AC14" s="15">
        <v>402.96879999999999</v>
      </c>
    </row>
    <row r="15" spans="1:32" x14ac:dyDescent="0.35">
      <c r="A15" s="5" t="s">
        <v>156</v>
      </c>
      <c r="B15" s="5" t="s">
        <v>67</v>
      </c>
      <c r="C15" s="6">
        <v>16.160399999999999</v>
      </c>
      <c r="D15" s="5">
        <v>5</v>
      </c>
      <c r="E15" s="5">
        <v>249</v>
      </c>
      <c r="F15" s="6">
        <v>4052.7384000000002</v>
      </c>
      <c r="G15" s="5" t="s">
        <v>55</v>
      </c>
      <c r="H15" s="7">
        <v>80</v>
      </c>
      <c r="I15" s="7" t="str">
        <f>IF(Table2_1[[#This Row],[Stock levels]]&gt;=71,"OverStocked",IF(Table2_1[[#This Row],[Stock levels]]&gt;=51,"Optimal Stock",IF(Table2_1[[#This Row],[Stock levels]]&gt;=21,"Low stocked","Critical Stock")))</f>
        <v>OverStocked</v>
      </c>
      <c r="J15" s="7">
        <v>8</v>
      </c>
      <c r="K15" s="7" t="str">
        <f>IF(Table2_1[[#This Row],[Lead times]]&gt;=20,"High",IF(Table2_1[[#This Row],[Lead times]]&gt;=10,"Medium","Low"))</f>
        <v>Low</v>
      </c>
      <c r="L15" s="7">
        <f>IFERROR(Table2_1[[#This Row],[Order quantities]]/Table2_1[[#This Row],[Stock levels]],0)</f>
        <v>0.6</v>
      </c>
      <c r="M15" s="7" t="str">
        <f>IF(Table2_1[[#This Row],[Inventory Movement Index]]&gt;=2,"Fast Moving",IF(Table2_1[[#This Row],[Inventory Movement Index]]&gt;=1,"Normal","Slow Moving"))</f>
        <v>Slow Moving</v>
      </c>
      <c r="N15" s="7">
        <v>48</v>
      </c>
      <c r="O15" s="7">
        <v>9</v>
      </c>
      <c r="P15" s="8" t="s">
        <v>36</v>
      </c>
      <c r="Q15" s="9">
        <v>9.5373000000000001</v>
      </c>
      <c r="R15" s="10" t="s">
        <v>44</v>
      </c>
      <c r="S15" s="10" t="s">
        <v>53</v>
      </c>
      <c r="T15" s="11">
        <v>23</v>
      </c>
      <c r="U15" s="11">
        <v>173</v>
      </c>
      <c r="V15" s="11">
        <v>10</v>
      </c>
      <c r="W15" s="12">
        <v>97.828999999999994</v>
      </c>
      <c r="X15" s="13" t="s">
        <v>30</v>
      </c>
      <c r="Y15" s="13">
        <v>1.6310739999999999</v>
      </c>
      <c r="Z15" s="13">
        <v>163.11000000000001</v>
      </c>
      <c r="AA15" s="14" t="s">
        <v>31</v>
      </c>
      <c r="AB15" s="14" t="s">
        <v>32</v>
      </c>
      <c r="AC15" s="15">
        <v>547.24099999999999</v>
      </c>
    </row>
    <row r="16" spans="1:32" x14ac:dyDescent="0.35">
      <c r="A16" s="5" t="s">
        <v>156</v>
      </c>
      <c r="B16" s="5" t="s">
        <v>68</v>
      </c>
      <c r="C16" s="6">
        <v>99.171300000000002</v>
      </c>
      <c r="D16" s="5">
        <v>26</v>
      </c>
      <c r="E16" s="5">
        <v>562</v>
      </c>
      <c r="F16" s="6">
        <v>8653.5709000000006</v>
      </c>
      <c r="G16" s="5" t="s">
        <v>26</v>
      </c>
      <c r="H16" s="7">
        <v>54</v>
      </c>
      <c r="I16" s="7" t="str">
        <f>IF(Table2_1[[#This Row],[Stock levels]]&gt;=71,"OverStocked",IF(Table2_1[[#This Row],[Stock levels]]&gt;=51,"Optimal Stock",IF(Table2_1[[#This Row],[Stock levels]]&gt;=21,"Low stocked","Critical Stock")))</f>
        <v>Optimal Stock</v>
      </c>
      <c r="J16" s="7">
        <v>29</v>
      </c>
      <c r="K16" s="7" t="str">
        <f>IF(Table2_1[[#This Row],[Lead times]]&gt;=20,"High",IF(Table2_1[[#This Row],[Lead times]]&gt;=10,"Medium","Low"))</f>
        <v>High</v>
      </c>
      <c r="L16" s="7">
        <f>IFERROR(Table2_1[[#This Row],[Order quantities]]/Table2_1[[#This Row],[Stock levels]],0)</f>
        <v>1.4444444444444444</v>
      </c>
      <c r="M16" s="7" t="str">
        <f>IF(Table2_1[[#This Row],[Inventory Movement Index]]&gt;=2,"Fast Moving",IF(Table2_1[[#This Row],[Inventory Movement Index]]&gt;=1,"Normal","Slow Moving"))</f>
        <v>Normal</v>
      </c>
      <c r="N16" s="7">
        <v>78</v>
      </c>
      <c r="O16" s="7">
        <v>5</v>
      </c>
      <c r="P16" s="8" t="s">
        <v>27</v>
      </c>
      <c r="Q16" s="9">
        <v>2.0398000000000001</v>
      </c>
      <c r="R16" s="10" t="s">
        <v>39</v>
      </c>
      <c r="S16" s="10" t="s">
        <v>45</v>
      </c>
      <c r="T16" s="11">
        <v>25</v>
      </c>
      <c r="U16" s="11">
        <v>558</v>
      </c>
      <c r="V16" s="11">
        <v>14</v>
      </c>
      <c r="W16" s="12">
        <v>5.7914000000000003</v>
      </c>
      <c r="X16" s="13" t="s">
        <v>30</v>
      </c>
      <c r="Y16" s="13">
        <v>0.10068299999999999</v>
      </c>
      <c r="Z16" s="13">
        <v>10.07</v>
      </c>
      <c r="AA16" s="14" t="s">
        <v>40</v>
      </c>
      <c r="AB16" s="14" t="s">
        <v>32</v>
      </c>
      <c r="AC16" s="15">
        <v>929.23530000000005</v>
      </c>
    </row>
    <row r="17" spans="1:29" x14ac:dyDescent="0.35">
      <c r="A17" s="5" t="s">
        <v>156</v>
      </c>
      <c r="B17" s="5" t="s">
        <v>69</v>
      </c>
      <c r="C17" s="6">
        <v>36.989199999999997</v>
      </c>
      <c r="D17" s="5">
        <v>94</v>
      </c>
      <c r="E17" s="5">
        <v>469</v>
      </c>
      <c r="F17" s="6">
        <v>5442.0868</v>
      </c>
      <c r="G17" s="5" t="s">
        <v>26</v>
      </c>
      <c r="H17" s="7">
        <v>9</v>
      </c>
      <c r="I17" s="7" t="str">
        <f>IF(Table2_1[[#This Row],[Stock levels]]&gt;=71,"OverStocked",IF(Table2_1[[#This Row],[Stock levels]]&gt;=51,"Optimal Stock",IF(Table2_1[[#This Row],[Stock levels]]&gt;=21,"Low stocked","Critical Stock")))</f>
        <v>Critical Stock</v>
      </c>
      <c r="J17" s="7">
        <v>8</v>
      </c>
      <c r="K17" s="7" t="str">
        <f>IF(Table2_1[[#This Row],[Lead times]]&gt;=20,"High",IF(Table2_1[[#This Row],[Lead times]]&gt;=10,"Medium","Low"))</f>
        <v>Low</v>
      </c>
      <c r="L17" s="7">
        <f>IFERROR(Table2_1[[#This Row],[Order quantities]]/Table2_1[[#This Row],[Stock levels]],0)</f>
        <v>7.666666666666667</v>
      </c>
      <c r="M17" s="7" t="str">
        <f>IF(Table2_1[[#This Row],[Inventory Movement Index]]&gt;=2,"Fast Moving",IF(Table2_1[[#This Row],[Inventory Movement Index]]&gt;=1,"Normal","Slow Moving"))</f>
        <v>Fast Moving</v>
      </c>
      <c r="N17" s="7">
        <v>69</v>
      </c>
      <c r="O17" s="7">
        <v>7</v>
      </c>
      <c r="P17" s="8" t="s">
        <v>27</v>
      </c>
      <c r="Q17" s="9">
        <v>2.4220000000000002</v>
      </c>
      <c r="R17" s="10" t="s">
        <v>39</v>
      </c>
      <c r="S17" s="10" t="s">
        <v>53</v>
      </c>
      <c r="T17" s="11">
        <v>14</v>
      </c>
      <c r="U17" s="11">
        <v>580</v>
      </c>
      <c r="V17" s="11">
        <v>7</v>
      </c>
      <c r="W17" s="12">
        <v>97.121300000000005</v>
      </c>
      <c r="X17" s="13" t="s">
        <v>64</v>
      </c>
      <c r="Y17" s="13">
        <v>2.2644060000000001</v>
      </c>
      <c r="Z17" s="13">
        <v>226.44</v>
      </c>
      <c r="AA17" s="14" t="s">
        <v>56</v>
      </c>
      <c r="AB17" s="14" t="s">
        <v>32</v>
      </c>
      <c r="AC17" s="15">
        <v>127.8618</v>
      </c>
    </row>
    <row r="18" spans="1:29" x14ac:dyDescent="0.35">
      <c r="A18" s="5" t="s">
        <v>156</v>
      </c>
      <c r="B18" s="5" t="s">
        <v>70</v>
      </c>
      <c r="C18" s="6">
        <v>7.5472000000000001</v>
      </c>
      <c r="D18" s="5">
        <v>74</v>
      </c>
      <c r="E18" s="5">
        <v>280</v>
      </c>
      <c r="F18" s="6">
        <v>6453.7979999999998</v>
      </c>
      <c r="G18" s="5" t="s">
        <v>35</v>
      </c>
      <c r="H18" s="7">
        <v>2</v>
      </c>
      <c r="I18" s="7" t="str">
        <f>IF(Table2_1[[#This Row],[Stock levels]]&gt;=71,"OverStocked",IF(Table2_1[[#This Row],[Stock levels]]&gt;=51,"Optimal Stock",IF(Table2_1[[#This Row],[Stock levels]]&gt;=21,"Low stocked","Critical Stock")))</f>
        <v>Critical Stock</v>
      </c>
      <c r="J18" s="7">
        <v>5</v>
      </c>
      <c r="K18" s="7" t="str">
        <f>IF(Table2_1[[#This Row],[Lead times]]&gt;=20,"High",IF(Table2_1[[#This Row],[Lead times]]&gt;=10,"Medium","Low"))</f>
        <v>Low</v>
      </c>
      <c r="L18" s="7">
        <f>IFERROR(Table2_1[[#This Row],[Order quantities]]/Table2_1[[#This Row],[Stock levels]],0)</f>
        <v>39</v>
      </c>
      <c r="M18" s="7" t="str">
        <f>IF(Table2_1[[#This Row],[Inventory Movement Index]]&gt;=2,"Fast Moving",IF(Table2_1[[#This Row],[Inventory Movement Index]]&gt;=1,"Normal","Slow Moving"))</f>
        <v>Fast Moving</v>
      </c>
      <c r="N18" s="7">
        <v>78</v>
      </c>
      <c r="O18" s="7">
        <v>1</v>
      </c>
      <c r="P18" s="8" t="s">
        <v>27</v>
      </c>
      <c r="Q18" s="9">
        <v>4.1913</v>
      </c>
      <c r="R18" s="10" t="s">
        <v>39</v>
      </c>
      <c r="S18" s="10" t="s">
        <v>53</v>
      </c>
      <c r="T18" s="11">
        <v>3</v>
      </c>
      <c r="U18" s="11">
        <v>399</v>
      </c>
      <c r="V18" s="11">
        <v>21</v>
      </c>
      <c r="W18" s="12">
        <v>77.106300000000005</v>
      </c>
      <c r="X18" s="13" t="s">
        <v>64</v>
      </c>
      <c r="Y18" s="13">
        <v>1.0125630000000001</v>
      </c>
      <c r="Z18" s="13">
        <v>101.26</v>
      </c>
      <c r="AA18" s="14" t="s">
        <v>40</v>
      </c>
      <c r="AB18" s="14" t="s">
        <v>48</v>
      </c>
      <c r="AC18" s="15">
        <v>865.5258</v>
      </c>
    </row>
    <row r="19" spans="1:29" x14ac:dyDescent="0.35">
      <c r="A19" s="5" t="s">
        <v>157</v>
      </c>
      <c r="B19" s="5" t="s">
        <v>71</v>
      </c>
      <c r="C19" s="6">
        <v>81.462500000000006</v>
      </c>
      <c r="D19" s="5">
        <v>82</v>
      </c>
      <c r="E19" s="5">
        <v>126</v>
      </c>
      <c r="F19" s="6">
        <v>2629.3964000000001</v>
      </c>
      <c r="G19" s="5" t="s">
        <v>35</v>
      </c>
      <c r="H19" s="7">
        <v>45</v>
      </c>
      <c r="I19" s="7" t="str">
        <f>IF(Table2_1[[#This Row],[Stock levels]]&gt;=71,"OverStocked",IF(Table2_1[[#This Row],[Stock levels]]&gt;=51,"Optimal Stock",IF(Table2_1[[#This Row],[Stock levels]]&gt;=21,"Low stocked","Critical Stock")))</f>
        <v>Low stocked</v>
      </c>
      <c r="J19" s="7">
        <v>17</v>
      </c>
      <c r="K19" s="7" t="str">
        <f>IF(Table2_1[[#This Row],[Lead times]]&gt;=20,"High",IF(Table2_1[[#This Row],[Lead times]]&gt;=10,"Medium","Low"))</f>
        <v>Medium</v>
      </c>
      <c r="L19" s="7">
        <f>IFERROR(Table2_1[[#This Row],[Order quantities]]/Table2_1[[#This Row],[Stock levels]],0)</f>
        <v>1.8888888888888888</v>
      </c>
      <c r="M19" s="7" t="str">
        <f>IF(Table2_1[[#This Row],[Inventory Movement Index]]&gt;=2,"Fast Moving",IF(Table2_1[[#This Row],[Inventory Movement Index]]&gt;=1,"Normal","Slow Moving"))</f>
        <v>Normal</v>
      </c>
      <c r="N19" s="7">
        <v>85</v>
      </c>
      <c r="O19" s="7">
        <v>9</v>
      </c>
      <c r="P19" s="8" t="s">
        <v>43</v>
      </c>
      <c r="Q19" s="9">
        <v>3.5853999999999999</v>
      </c>
      <c r="R19" s="10" t="s">
        <v>39</v>
      </c>
      <c r="S19" s="10" t="s">
        <v>62</v>
      </c>
      <c r="T19" s="11">
        <v>7</v>
      </c>
      <c r="U19" s="11">
        <v>453</v>
      </c>
      <c r="V19" s="11">
        <v>16</v>
      </c>
      <c r="W19" s="12">
        <v>47.679699999999997</v>
      </c>
      <c r="X19" s="13" t="s">
        <v>46</v>
      </c>
      <c r="Y19" s="13">
        <v>0.102021</v>
      </c>
      <c r="Z19" s="13">
        <v>10.199999999999999</v>
      </c>
      <c r="AA19" s="14" t="s">
        <v>40</v>
      </c>
      <c r="AB19" s="14" t="s">
        <v>41</v>
      </c>
      <c r="AC19" s="15">
        <v>670.93439999999998</v>
      </c>
    </row>
    <row r="20" spans="1:29" x14ac:dyDescent="0.35">
      <c r="A20" s="5" t="s">
        <v>155</v>
      </c>
      <c r="B20" s="5" t="s">
        <v>72</v>
      </c>
      <c r="C20" s="6">
        <v>36.443600000000004</v>
      </c>
      <c r="D20" s="5">
        <v>23</v>
      </c>
      <c r="E20" s="5">
        <v>620</v>
      </c>
      <c r="F20" s="6">
        <v>9364.6735000000008</v>
      </c>
      <c r="G20" s="5" t="s">
        <v>38</v>
      </c>
      <c r="H20" s="7">
        <v>10</v>
      </c>
      <c r="I20" s="7" t="str">
        <f>IF(Table2_1[[#This Row],[Stock levels]]&gt;=71,"OverStocked",IF(Table2_1[[#This Row],[Stock levels]]&gt;=51,"Optimal Stock",IF(Table2_1[[#This Row],[Stock levels]]&gt;=21,"Low stocked","Critical Stock")))</f>
        <v>Critical Stock</v>
      </c>
      <c r="J20" s="7">
        <v>10</v>
      </c>
      <c r="K20" s="7" t="str">
        <f>IF(Table2_1[[#This Row],[Lead times]]&gt;=20,"High",IF(Table2_1[[#This Row],[Lead times]]&gt;=10,"Medium","Low"))</f>
        <v>Medium</v>
      </c>
      <c r="L20" s="7">
        <f>IFERROR(Table2_1[[#This Row],[Order quantities]]/Table2_1[[#This Row],[Stock levels]],0)</f>
        <v>4.5999999999999996</v>
      </c>
      <c r="M20" s="7" t="str">
        <f>IF(Table2_1[[#This Row],[Inventory Movement Index]]&gt;=2,"Fast Moving",IF(Table2_1[[#This Row],[Inventory Movement Index]]&gt;=1,"Normal","Slow Moving"))</f>
        <v>Fast Moving</v>
      </c>
      <c r="N20" s="7">
        <v>46</v>
      </c>
      <c r="O20" s="7">
        <v>8</v>
      </c>
      <c r="P20" s="8" t="s">
        <v>43</v>
      </c>
      <c r="Q20" s="9">
        <v>4.3391999999999999</v>
      </c>
      <c r="R20" s="10" t="s">
        <v>61</v>
      </c>
      <c r="S20" s="10" t="s">
        <v>45</v>
      </c>
      <c r="T20" s="11">
        <v>18</v>
      </c>
      <c r="U20" s="11">
        <v>374</v>
      </c>
      <c r="V20" s="11">
        <v>17</v>
      </c>
      <c r="W20" s="12">
        <v>27.108000000000001</v>
      </c>
      <c r="X20" s="13" t="s">
        <v>30</v>
      </c>
      <c r="Y20" s="13">
        <v>2.2319390000000001</v>
      </c>
      <c r="Z20" s="13">
        <v>223.19</v>
      </c>
      <c r="AA20" s="14" t="s">
        <v>56</v>
      </c>
      <c r="AB20" s="14" t="s">
        <v>48</v>
      </c>
      <c r="AC20" s="15">
        <v>593.48030000000006</v>
      </c>
    </row>
    <row r="21" spans="1:29" x14ac:dyDescent="0.35">
      <c r="A21" s="5" t="s">
        <v>156</v>
      </c>
      <c r="B21" s="5" t="s">
        <v>73</v>
      </c>
      <c r="C21" s="6">
        <v>51.123899999999999</v>
      </c>
      <c r="D21" s="5">
        <v>100</v>
      </c>
      <c r="E21" s="5">
        <v>187</v>
      </c>
      <c r="F21" s="6">
        <v>2553.4956000000002</v>
      </c>
      <c r="G21" s="5" t="s">
        <v>38</v>
      </c>
      <c r="H21" s="7">
        <v>48</v>
      </c>
      <c r="I21" s="7" t="str">
        <f>IF(Table2_1[[#This Row],[Stock levels]]&gt;=71,"OverStocked",IF(Table2_1[[#This Row],[Stock levels]]&gt;=51,"Optimal Stock",IF(Table2_1[[#This Row],[Stock levels]]&gt;=21,"Low stocked","Critical Stock")))</f>
        <v>Low stocked</v>
      </c>
      <c r="J21" s="7">
        <v>11</v>
      </c>
      <c r="K21" s="7" t="str">
        <f>IF(Table2_1[[#This Row],[Lead times]]&gt;=20,"High",IF(Table2_1[[#This Row],[Lead times]]&gt;=10,"Medium","Low"))</f>
        <v>Medium</v>
      </c>
      <c r="L21" s="7">
        <f>IFERROR(Table2_1[[#This Row],[Order quantities]]/Table2_1[[#This Row],[Stock levels]],0)</f>
        <v>1.9583333333333333</v>
      </c>
      <c r="M21" s="7" t="str">
        <f>IF(Table2_1[[#This Row],[Inventory Movement Index]]&gt;=2,"Fast Moving",IF(Table2_1[[#This Row],[Inventory Movement Index]]&gt;=1,"Normal","Slow Moving"))</f>
        <v>Normal</v>
      </c>
      <c r="N21" s="7">
        <v>94</v>
      </c>
      <c r="O21" s="7">
        <v>3</v>
      </c>
      <c r="P21" s="8" t="s">
        <v>36</v>
      </c>
      <c r="Q21" s="9">
        <v>4.7426000000000004</v>
      </c>
      <c r="R21" s="10" t="s">
        <v>52</v>
      </c>
      <c r="S21" s="10" t="s">
        <v>62</v>
      </c>
      <c r="T21" s="11">
        <v>20</v>
      </c>
      <c r="U21" s="11">
        <v>694</v>
      </c>
      <c r="V21" s="11">
        <v>16</v>
      </c>
      <c r="W21" s="12">
        <v>82.3733</v>
      </c>
      <c r="X21" s="13" t="s">
        <v>46</v>
      </c>
      <c r="Y21" s="13">
        <v>3.6464509999999999</v>
      </c>
      <c r="Z21" s="13">
        <v>364.65</v>
      </c>
      <c r="AA21" s="14" t="s">
        <v>31</v>
      </c>
      <c r="AB21" s="14" t="s">
        <v>41</v>
      </c>
      <c r="AC21" s="15">
        <v>477.30759999999998</v>
      </c>
    </row>
    <row r="22" spans="1:29" x14ac:dyDescent="0.35">
      <c r="A22" s="5" t="s">
        <v>156</v>
      </c>
      <c r="B22" s="5" t="s">
        <v>74</v>
      </c>
      <c r="C22" s="6">
        <v>96.341099999999997</v>
      </c>
      <c r="D22" s="5">
        <v>22</v>
      </c>
      <c r="E22" s="5">
        <v>320</v>
      </c>
      <c r="F22" s="6">
        <v>8128.0276999999996</v>
      </c>
      <c r="G22" s="5" t="s">
        <v>38</v>
      </c>
      <c r="H22" s="7">
        <v>27</v>
      </c>
      <c r="I22" s="7" t="str">
        <f>IF(Table2_1[[#This Row],[Stock levels]]&gt;=71,"OverStocked",IF(Table2_1[[#This Row],[Stock levels]]&gt;=51,"Optimal Stock",IF(Table2_1[[#This Row],[Stock levels]]&gt;=21,"Low stocked","Critical Stock")))</f>
        <v>Low stocked</v>
      </c>
      <c r="J22" s="7">
        <v>12</v>
      </c>
      <c r="K22" s="7" t="str">
        <f>IF(Table2_1[[#This Row],[Lead times]]&gt;=20,"High",IF(Table2_1[[#This Row],[Lead times]]&gt;=10,"Medium","Low"))</f>
        <v>Medium</v>
      </c>
      <c r="L22" s="7">
        <f>IFERROR(Table2_1[[#This Row],[Order quantities]]/Table2_1[[#This Row],[Stock levels]],0)</f>
        <v>2.5185185185185186</v>
      </c>
      <c r="M22" s="7" t="str">
        <f>IF(Table2_1[[#This Row],[Inventory Movement Index]]&gt;=2,"Fast Moving",IF(Table2_1[[#This Row],[Inventory Movement Index]]&gt;=1,"Normal","Slow Moving"))</f>
        <v>Fast Moving</v>
      </c>
      <c r="N22" s="7">
        <v>68</v>
      </c>
      <c r="O22" s="7">
        <v>6</v>
      </c>
      <c r="P22" s="8" t="s">
        <v>36</v>
      </c>
      <c r="Q22" s="9">
        <v>8.8782999999999994</v>
      </c>
      <c r="R22" s="10" t="s">
        <v>39</v>
      </c>
      <c r="S22" s="10" t="s">
        <v>62</v>
      </c>
      <c r="T22" s="11">
        <v>29</v>
      </c>
      <c r="U22" s="11">
        <v>309</v>
      </c>
      <c r="V22" s="11">
        <v>6</v>
      </c>
      <c r="W22" s="12">
        <v>65.686300000000003</v>
      </c>
      <c r="X22" s="13" t="s">
        <v>64</v>
      </c>
      <c r="Y22" s="13">
        <v>4.2314170000000004</v>
      </c>
      <c r="Z22" s="13">
        <v>423.14</v>
      </c>
      <c r="AA22" s="14" t="s">
        <v>40</v>
      </c>
      <c r="AB22" s="14" t="s">
        <v>32</v>
      </c>
      <c r="AC22" s="15">
        <v>493.87119999999999</v>
      </c>
    </row>
    <row r="23" spans="1:29" x14ac:dyDescent="0.35">
      <c r="A23" s="5" t="s">
        <v>157</v>
      </c>
      <c r="B23" s="5" t="s">
        <v>75</v>
      </c>
      <c r="C23" s="6">
        <v>84.893900000000002</v>
      </c>
      <c r="D23" s="5">
        <v>60</v>
      </c>
      <c r="E23" s="5">
        <v>601</v>
      </c>
      <c r="F23" s="6">
        <v>7087.0527000000002</v>
      </c>
      <c r="G23" s="5" t="s">
        <v>38</v>
      </c>
      <c r="H23" s="7">
        <v>69</v>
      </c>
      <c r="I23" s="7" t="str">
        <f>IF(Table2_1[[#This Row],[Stock levels]]&gt;=71,"OverStocked",IF(Table2_1[[#This Row],[Stock levels]]&gt;=51,"Optimal Stock",IF(Table2_1[[#This Row],[Stock levels]]&gt;=21,"Low stocked","Critical Stock")))</f>
        <v>Optimal Stock</v>
      </c>
      <c r="J23" s="7">
        <v>25</v>
      </c>
      <c r="K23" s="7" t="str">
        <f>IF(Table2_1[[#This Row],[Lead times]]&gt;=20,"High",IF(Table2_1[[#This Row],[Lead times]]&gt;=10,"Medium","Low"))</f>
        <v>High</v>
      </c>
      <c r="L23" s="7">
        <f>IFERROR(Table2_1[[#This Row],[Order quantities]]/Table2_1[[#This Row],[Stock levels]],0)</f>
        <v>0.10144927536231885</v>
      </c>
      <c r="M23" s="7" t="str">
        <f>IF(Table2_1[[#This Row],[Inventory Movement Index]]&gt;=2,"Fast Moving",IF(Table2_1[[#This Row],[Inventory Movement Index]]&gt;=1,"Normal","Slow Moving"))</f>
        <v>Slow Moving</v>
      </c>
      <c r="N23" s="7">
        <v>7</v>
      </c>
      <c r="O23" s="7">
        <v>6</v>
      </c>
      <c r="P23" s="8" t="s">
        <v>27</v>
      </c>
      <c r="Q23" s="9">
        <v>6.0378999999999996</v>
      </c>
      <c r="R23" s="10" t="s">
        <v>44</v>
      </c>
      <c r="S23" s="10" t="s">
        <v>62</v>
      </c>
      <c r="T23" s="11">
        <v>19</v>
      </c>
      <c r="U23" s="11">
        <v>791</v>
      </c>
      <c r="V23" s="11">
        <v>4</v>
      </c>
      <c r="W23" s="12">
        <v>61.735700000000001</v>
      </c>
      <c r="X23" s="13" t="s">
        <v>30</v>
      </c>
      <c r="Y23" s="13">
        <v>1.8608E-2</v>
      </c>
      <c r="Z23" s="13">
        <v>1.86</v>
      </c>
      <c r="AA23" s="14" t="s">
        <v>40</v>
      </c>
      <c r="AB23" s="14" t="s">
        <v>41</v>
      </c>
      <c r="AC23" s="15">
        <v>523.36090000000002</v>
      </c>
    </row>
    <row r="24" spans="1:29" x14ac:dyDescent="0.35">
      <c r="A24" s="5" t="s">
        <v>155</v>
      </c>
      <c r="B24" s="5" t="s">
        <v>76</v>
      </c>
      <c r="C24" s="6">
        <v>27.6798</v>
      </c>
      <c r="D24" s="5">
        <v>55</v>
      </c>
      <c r="E24" s="5">
        <v>884</v>
      </c>
      <c r="F24" s="6">
        <v>2390.8078999999998</v>
      </c>
      <c r="G24" s="5" t="s">
        <v>38</v>
      </c>
      <c r="H24" s="7">
        <v>71</v>
      </c>
      <c r="I24" s="7" t="str">
        <f>IF(Table2_1[[#This Row],[Stock levels]]&gt;=71,"OverStocked",IF(Table2_1[[#This Row],[Stock levels]]&gt;=51,"Optimal Stock",IF(Table2_1[[#This Row],[Stock levels]]&gt;=21,"Low stocked","Critical Stock")))</f>
        <v>OverStocked</v>
      </c>
      <c r="J24" s="7">
        <v>1</v>
      </c>
      <c r="K24" s="7" t="str">
        <f>IF(Table2_1[[#This Row],[Lead times]]&gt;=20,"High",IF(Table2_1[[#This Row],[Lead times]]&gt;=10,"Medium","Low"))</f>
        <v>Low</v>
      </c>
      <c r="L24" s="7">
        <f>IFERROR(Table2_1[[#This Row],[Order quantities]]/Table2_1[[#This Row],[Stock levels]],0)</f>
        <v>0.88732394366197187</v>
      </c>
      <c r="M24" s="7" t="str">
        <f>IF(Table2_1[[#This Row],[Inventory Movement Index]]&gt;=2,"Fast Moving",IF(Table2_1[[#This Row],[Inventory Movement Index]]&gt;=1,"Normal","Slow Moving"))</f>
        <v>Slow Moving</v>
      </c>
      <c r="N24" s="7">
        <v>63</v>
      </c>
      <c r="O24" s="7">
        <v>10</v>
      </c>
      <c r="P24" s="8" t="s">
        <v>36</v>
      </c>
      <c r="Q24" s="9">
        <v>9.5676000000000005</v>
      </c>
      <c r="R24" s="10" t="s">
        <v>52</v>
      </c>
      <c r="S24" s="10" t="s">
        <v>45</v>
      </c>
      <c r="T24" s="11">
        <v>22</v>
      </c>
      <c r="U24" s="11">
        <v>780</v>
      </c>
      <c r="V24" s="11">
        <v>28</v>
      </c>
      <c r="W24" s="12">
        <v>50.120800000000003</v>
      </c>
      <c r="X24" s="13" t="s">
        <v>46</v>
      </c>
      <c r="Y24" s="13">
        <v>2.591275</v>
      </c>
      <c r="Z24" s="13">
        <v>259.13</v>
      </c>
      <c r="AA24" s="14" t="s">
        <v>47</v>
      </c>
      <c r="AB24" s="14" t="s">
        <v>41</v>
      </c>
      <c r="AC24" s="15">
        <v>205.572</v>
      </c>
    </row>
    <row r="25" spans="1:29" x14ac:dyDescent="0.35">
      <c r="A25" s="5" t="s">
        <v>157</v>
      </c>
      <c r="B25" s="5" t="s">
        <v>77</v>
      </c>
      <c r="C25" s="6">
        <v>4.3243</v>
      </c>
      <c r="D25" s="5">
        <v>30</v>
      </c>
      <c r="E25" s="5">
        <v>391</v>
      </c>
      <c r="F25" s="6">
        <v>8858.3675999999996</v>
      </c>
      <c r="G25" s="5" t="s">
        <v>38</v>
      </c>
      <c r="H25" s="7">
        <v>84</v>
      </c>
      <c r="I25" s="7" t="str">
        <f>IF(Table2_1[[#This Row],[Stock levels]]&gt;=71,"OverStocked",IF(Table2_1[[#This Row],[Stock levels]]&gt;=51,"Optimal Stock",IF(Table2_1[[#This Row],[Stock levels]]&gt;=21,"Low stocked","Critical Stock")))</f>
        <v>OverStocked</v>
      </c>
      <c r="J25" s="7">
        <v>5</v>
      </c>
      <c r="K25" s="7" t="str">
        <f>IF(Table2_1[[#This Row],[Lead times]]&gt;=20,"High",IF(Table2_1[[#This Row],[Lead times]]&gt;=10,"Medium","Low"))</f>
        <v>Low</v>
      </c>
      <c r="L25" s="7">
        <f>IFERROR(Table2_1[[#This Row],[Order quantities]]/Table2_1[[#This Row],[Stock levels]],0)</f>
        <v>0.34523809523809523</v>
      </c>
      <c r="M25" s="7" t="str">
        <f>IF(Table2_1[[#This Row],[Inventory Movement Index]]&gt;=2,"Fast Moving",IF(Table2_1[[#This Row],[Inventory Movement Index]]&gt;=1,"Normal","Slow Moving"))</f>
        <v>Slow Moving</v>
      </c>
      <c r="N25" s="7">
        <v>29</v>
      </c>
      <c r="O25" s="7">
        <v>7</v>
      </c>
      <c r="P25" s="8" t="s">
        <v>36</v>
      </c>
      <c r="Q25" s="9">
        <v>2.9249000000000001</v>
      </c>
      <c r="R25" s="10" t="s">
        <v>44</v>
      </c>
      <c r="S25" s="10" t="s">
        <v>45</v>
      </c>
      <c r="T25" s="11">
        <v>11</v>
      </c>
      <c r="U25" s="11">
        <v>568</v>
      </c>
      <c r="V25" s="11">
        <v>29</v>
      </c>
      <c r="W25" s="12">
        <v>98.61</v>
      </c>
      <c r="X25" s="13" t="s">
        <v>30</v>
      </c>
      <c r="Y25" s="13">
        <v>1.342292</v>
      </c>
      <c r="Z25" s="13">
        <v>134.22999999999999</v>
      </c>
      <c r="AA25" s="14" t="s">
        <v>47</v>
      </c>
      <c r="AB25" s="14" t="s">
        <v>48</v>
      </c>
      <c r="AC25" s="15">
        <v>196.32939999999999</v>
      </c>
    </row>
    <row r="26" spans="1:29" x14ac:dyDescent="0.35">
      <c r="A26" s="5" t="s">
        <v>155</v>
      </c>
      <c r="B26" s="5" t="s">
        <v>78</v>
      </c>
      <c r="C26" s="6">
        <v>4.1562999999999999</v>
      </c>
      <c r="D26" s="5">
        <v>32</v>
      </c>
      <c r="E26" s="5">
        <v>209</v>
      </c>
      <c r="F26" s="6">
        <v>9049.0779000000002</v>
      </c>
      <c r="G26" s="5" t="s">
        <v>55</v>
      </c>
      <c r="H26" s="7">
        <v>4</v>
      </c>
      <c r="I26" s="7" t="str">
        <f>IF(Table2_1[[#This Row],[Stock levels]]&gt;=71,"OverStocked",IF(Table2_1[[#This Row],[Stock levels]]&gt;=51,"Optimal Stock",IF(Table2_1[[#This Row],[Stock levels]]&gt;=21,"Low stocked","Critical Stock")))</f>
        <v>Critical Stock</v>
      </c>
      <c r="J26" s="7">
        <v>26</v>
      </c>
      <c r="K26" s="7" t="str">
        <f>IF(Table2_1[[#This Row],[Lead times]]&gt;=20,"High",IF(Table2_1[[#This Row],[Lead times]]&gt;=10,"Medium","Low"))</f>
        <v>High</v>
      </c>
      <c r="L26" s="7">
        <f>IFERROR(Table2_1[[#This Row],[Order quantities]]/Table2_1[[#This Row],[Stock levels]],0)</f>
        <v>0.5</v>
      </c>
      <c r="M26" s="7" t="str">
        <f>IF(Table2_1[[#This Row],[Inventory Movement Index]]&gt;=2,"Fast Moving",IF(Table2_1[[#This Row],[Inventory Movement Index]]&gt;=1,"Normal","Slow Moving"))</f>
        <v>Slow Moving</v>
      </c>
      <c r="N26" s="7">
        <v>2</v>
      </c>
      <c r="O26" s="7">
        <v>8</v>
      </c>
      <c r="P26" s="8" t="s">
        <v>43</v>
      </c>
      <c r="Q26" s="9">
        <v>9.7413000000000007</v>
      </c>
      <c r="R26" s="10" t="s">
        <v>61</v>
      </c>
      <c r="S26" s="10" t="s">
        <v>53</v>
      </c>
      <c r="T26" s="11">
        <v>28</v>
      </c>
      <c r="U26" s="11">
        <v>447</v>
      </c>
      <c r="V26" s="11">
        <v>3</v>
      </c>
      <c r="W26" s="12">
        <v>40.382399999999997</v>
      </c>
      <c r="X26" s="13" t="s">
        <v>30</v>
      </c>
      <c r="Y26" s="13">
        <v>3.6913100000000001</v>
      </c>
      <c r="Z26" s="13">
        <v>369.13</v>
      </c>
      <c r="AA26" s="14" t="s">
        <v>40</v>
      </c>
      <c r="AB26" s="14" t="s">
        <v>48</v>
      </c>
      <c r="AC26" s="15">
        <v>758.72479999999996</v>
      </c>
    </row>
    <row r="27" spans="1:29" x14ac:dyDescent="0.35">
      <c r="A27" s="5" t="s">
        <v>155</v>
      </c>
      <c r="B27" s="5" t="s">
        <v>79</v>
      </c>
      <c r="C27" s="6">
        <v>39.629300000000001</v>
      </c>
      <c r="D27" s="5">
        <v>73</v>
      </c>
      <c r="E27" s="5">
        <v>142</v>
      </c>
      <c r="F27" s="6">
        <v>2174.7770999999998</v>
      </c>
      <c r="G27" s="5" t="s">
        <v>55</v>
      </c>
      <c r="H27" s="7">
        <v>82</v>
      </c>
      <c r="I27" s="7" t="str">
        <f>IF(Table2_1[[#This Row],[Stock levels]]&gt;=71,"OverStocked",IF(Table2_1[[#This Row],[Stock levels]]&gt;=51,"Optimal Stock",IF(Table2_1[[#This Row],[Stock levels]]&gt;=21,"Low stocked","Critical Stock")))</f>
        <v>OverStocked</v>
      </c>
      <c r="J27" s="7">
        <v>11</v>
      </c>
      <c r="K27" s="7" t="str">
        <f>IF(Table2_1[[#This Row],[Lead times]]&gt;=20,"High",IF(Table2_1[[#This Row],[Lead times]]&gt;=10,"Medium","Low"))</f>
        <v>Medium</v>
      </c>
      <c r="L27" s="7">
        <f>IFERROR(Table2_1[[#This Row],[Order quantities]]/Table2_1[[#This Row],[Stock levels]],0)</f>
        <v>0.63414634146341464</v>
      </c>
      <c r="M27" s="7" t="str">
        <f>IF(Table2_1[[#This Row],[Inventory Movement Index]]&gt;=2,"Fast Moving",IF(Table2_1[[#This Row],[Inventory Movement Index]]&gt;=1,"Normal","Slow Moving"))</f>
        <v>Slow Moving</v>
      </c>
      <c r="N27" s="7">
        <v>52</v>
      </c>
      <c r="O27" s="7">
        <v>3</v>
      </c>
      <c r="P27" s="8" t="s">
        <v>43</v>
      </c>
      <c r="Q27" s="9">
        <v>2.2311000000000001</v>
      </c>
      <c r="R27" s="10" t="s">
        <v>52</v>
      </c>
      <c r="S27" s="10" t="s">
        <v>45</v>
      </c>
      <c r="T27" s="11">
        <v>19</v>
      </c>
      <c r="U27" s="11">
        <v>934</v>
      </c>
      <c r="V27" s="11">
        <v>23</v>
      </c>
      <c r="W27" s="12">
        <v>78.2804</v>
      </c>
      <c r="X27" s="13" t="s">
        <v>30</v>
      </c>
      <c r="Y27" s="13">
        <v>3.797231</v>
      </c>
      <c r="Z27" s="13">
        <v>379.72</v>
      </c>
      <c r="AA27" s="14" t="s">
        <v>31</v>
      </c>
      <c r="AB27" s="14" t="s">
        <v>32</v>
      </c>
      <c r="AC27" s="15">
        <v>458.53590000000003</v>
      </c>
    </row>
    <row r="28" spans="1:29" x14ac:dyDescent="0.35">
      <c r="A28" s="5" t="s">
        <v>155</v>
      </c>
      <c r="B28" s="5" t="s">
        <v>80</v>
      </c>
      <c r="C28" s="6">
        <v>97.446899999999999</v>
      </c>
      <c r="D28" s="5">
        <v>9</v>
      </c>
      <c r="E28" s="5">
        <v>353</v>
      </c>
      <c r="F28" s="6">
        <v>3716.4933000000001</v>
      </c>
      <c r="G28" s="5" t="s">
        <v>55</v>
      </c>
      <c r="H28" s="7">
        <v>59</v>
      </c>
      <c r="I28" s="7" t="str">
        <f>IF(Table2_1[[#This Row],[Stock levels]]&gt;=71,"OverStocked",IF(Table2_1[[#This Row],[Stock levels]]&gt;=51,"Optimal Stock",IF(Table2_1[[#This Row],[Stock levels]]&gt;=21,"Low stocked","Critical Stock")))</f>
        <v>Optimal Stock</v>
      </c>
      <c r="J28" s="7">
        <v>16</v>
      </c>
      <c r="K28" s="7" t="str">
        <f>IF(Table2_1[[#This Row],[Lead times]]&gt;=20,"High",IF(Table2_1[[#This Row],[Lead times]]&gt;=10,"Medium","Low"))</f>
        <v>Medium</v>
      </c>
      <c r="L28" s="7">
        <f>IFERROR(Table2_1[[#This Row],[Order quantities]]/Table2_1[[#This Row],[Stock levels]],0)</f>
        <v>0.81355932203389836</v>
      </c>
      <c r="M28" s="7" t="str">
        <f>IF(Table2_1[[#This Row],[Inventory Movement Index]]&gt;=2,"Fast Moving",IF(Table2_1[[#This Row],[Inventory Movement Index]]&gt;=1,"Normal","Slow Moving"))</f>
        <v>Slow Moving</v>
      </c>
      <c r="N28" s="7">
        <v>48</v>
      </c>
      <c r="O28" s="7">
        <v>4</v>
      </c>
      <c r="P28" s="8" t="s">
        <v>27</v>
      </c>
      <c r="Q28" s="9">
        <v>6.5075000000000003</v>
      </c>
      <c r="R28" s="10" t="s">
        <v>61</v>
      </c>
      <c r="S28" s="10" t="s">
        <v>53</v>
      </c>
      <c r="T28" s="11">
        <v>26</v>
      </c>
      <c r="U28" s="11">
        <v>171</v>
      </c>
      <c r="V28" s="11">
        <v>4</v>
      </c>
      <c r="W28" s="12">
        <v>15.972200000000001</v>
      </c>
      <c r="X28" s="13" t="s">
        <v>64</v>
      </c>
      <c r="Y28" s="13">
        <v>2.1193200000000001</v>
      </c>
      <c r="Z28" s="13">
        <v>211.93</v>
      </c>
      <c r="AA28" s="14" t="s">
        <v>47</v>
      </c>
      <c r="AB28" s="14" t="s">
        <v>48</v>
      </c>
      <c r="AC28" s="15">
        <v>617.86689999999999</v>
      </c>
    </row>
    <row r="29" spans="1:29" x14ac:dyDescent="0.35">
      <c r="A29" s="5" t="s">
        <v>157</v>
      </c>
      <c r="B29" s="5" t="s">
        <v>81</v>
      </c>
      <c r="C29" s="6">
        <v>92.557400000000001</v>
      </c>
      <c r="D29" s="5">
        <v>42</v>
      </c>
      <c r="E29" s="5">
        <v>352</v>
      </c>
      <c r="F29" s="6">
        <v>2686.4571999999998</v>
      </c>
      <c r="G29" s="5" t="s">
        <v>38</v>
      </c>
      <c r="H29" s="7">
        <v>47</v>
      </c>
      <c r="I29" s="7" t="str">
        <f>IF(Table2_1[[#This Row],[Stock levels]]&gt;=71,"OverStocked",IF(Table2_1[[#This Row],[Stock levels]]&gt;=51,"Optimal Stock",IF(Table2_1[[#This Row],[Stock levels]]&gt;=21,"Low stocked","Critical Stock")))</f>
        <v>Low stocked</v>
      </c>
      <c r="J29" s="7">
        <v>9</v>
      </c>
      <c r="K29" s="7" t="str">
        <f>IF(Table2_1[[#This Row],[Lead times]]&gt;=20,"High",IF(Table2_1[[#This Row],[Lead times]]&gt;=10,"Medium","Low"))</f>
        <v>Low</v>
      </c>
      <c r="L29" s="7">
        <f>IFERROR(Table2_1[[#This Row],[Order quantities]]/Table2_1[[#This Row],[Stock levels]],0)</f>
        <v>1.3191489361702127</v>
      </c>
      <c r="M29" s="7" t="str">
        <f>IF(Table2_1[[#This Row],[Inventory Movement Index]]&gt;=2,"Fast Moving",IF(Table2_1[[#This Row],[Inventory Movement Index]]&gt;=1,"Normal","Slow Moving"))</f>
        <v>Normal</v>
      </c>
      <c r="N29" s="7">
        <v>62</v>
      </c>
      <c r="O29" s="7">
        <v>8</v>
      </c>
      <c r="P29" s="8" t="s">
        <v>43</v>
      </c>
      <c r="Q29" s="9">
        <v>7.4067999999999996</v>
      </c>
      <c r="R29" s="10" t="s">
        <v>44</v>
      </c>
      <c r="S29" s="10" t="s">
        <v>29</v>
      </c>
      <c r="T29" s="11">
        <v>25</v>
      </c>
      <c r="U29" s="11">
        <v>291</v>
      </c>
      <c r="V29" s="11">
        <v>4</v>
      </c>
      <c r="W29" s="12">
        <v>10.5282</v>
      </c>
      <c r="X29" s="13" t="s">
        <v>46</v>
      </c>
      <c r="Y29" s="13">
        <v>2.864668</v>
      </c>
      <c r="Z29" s="13">
        <v>286.47000000000003</v>
      </c>
      <c r="AA29" s="14" t="s">
        <v>56</v>
      </c>
      <c r="AB29" s="14" t="s">
        <v>32</v>
      </c>
      <c r="AC29" s="15">
        <v>762.45920000000001</v>
      </c>
    </row>
    <row r="30" spans="1:29" x14ac:dyDescent="0.35">
      <c r="A30" s="5" t="s">
        <v>157</v>
      </c>
      <c r="B30" s="5" t="s">
        <v>82</v>
      </c>
      <c r="C30" s="6">
        <v>2.3973</v>
      </c>
      <c r="D30" s="5">
        <v>12</v>
      </c>
      <c r="E30" s="5">
        <v>394</v>
      </c>
      <c r="F30" s="6">
        <v>6117.3245999999999</v>
      </c>
      <c r="G30" s="5" t="s">
        <v>35</v>
      </c>
      <c r="H30" s="7">
        <v>48</v>
      </c>
      <c r="I30" s="7" t="str">
        <f>IF(Table2_1[[#This Row],[Stock levels]]&gt;=71,"OverStocked",IF(Table2_1[[#This Row],[Stock levels]]&gt;=51,"Optimal Stock",IF(Table2_1[[#This Row],[Stock levels]]&gt;=21,"Low stocked","Critical Stock")))</f>
        <v>Low stocked</v>
      </c>
      <c r="J30" s="7">
        <v>15</v>
      </c>
      <c r="K30" s="7" t="str">
        <f>IF(Table2_1[[#This Row],[Lead times]]&gt;=20,"High",IF(Table2_1[[#This Row],[Lead times]]&gt;=10,"Medium","Low"))</f>
        <v>Medium</v>
      </c>
      <c r="L30" s="7">
        <f>IFERROR(Table2_1[[#This Row],[Order quantities]]/Table2_1[[#This Row],[Stock levels]],0)</f>
        <v>0.5</v>
      </c>
      <c r="M30" s="7" t="str">
        <f>IF(Table2_1[[#This Row],[Inventory Movement Index]]&gt;=2,"Fast Moving",IF(Table2_1[[#This Row],[Inventory Movement Index]]&gt;=1,"Normal","Slow Moving"))</f>
        <v>Slow Moving</v>
      </c>
      <c r="N30" s="7">
        <v>24</v>
      </c>
      <c r="O30" s="7">
        <v>4</v>
      </c>
      <c r="P30" s="8" t="s">
        <v>27</v>
      </c>
      <c r="Q30" s="9">
        <v>9.8980999999999995</v>
      </c>
      <c r="R30" s="10" t="s">
        <v>39</v>
      </c>
      <c r="S30" s="10" t="s">
        <v>29</v>
      </c>
      <c r="T30" s="11">
        <v>13</v>
      </c>
      <c r="U30" s="11">
        <v>171</v>
      </c>
      <c r="V30" s="11">
        <v>7</v>
      </c>
      <c r="W30" s="12">
        <v>59.429400000000001</v>
      </c>
      <c r="X30" s="13" t="s">
        <v>46</v>
      </c>
      <c r="Y30" s="13">
        <v>0.81575699999999995</v>
      </c>
      <c r="Z30" s="13">
        <v>81.58</v>
      </c>
      <c r="AA30" s="14" t="s">
        <v>40</v>
      </c>
      <c r="AB30" s="14" t="s">
        <v>48</v>
      </c>
      <c r="AC30" s="15">
        <v>123.437</v>
      </c>
    </row>
    <row r="31" spans="1:29" x14ac:dyDescent="0.35">
      <c r="A31" s="5" t="s">
        <v>157</v>
      </c>
      <c r="B31" s="5" t="s">
        <v>83</v>
      </c>
      <c r="C31" s="6">
        <v>63.447600000000001</v>
      </c>
      <c r="D31" s="5">
        <v>3</v>
      </c>
      <c r="E31" s="5">
        <v>253</v>
      </c>
      <c r="F31" s="6">
        <v>8318.9032000000007</v>
      </c>
      <c r="G31" s="5" t="s">
        <v>35</v>
      </c>
      <c r="H31" s="7">
        <v>45</v>
      </c>
      <c r="I31" s="7" t="str">
        <f>IF(Table2_1[[#This Row],[Stock levels]]&gt;=71,"OverStocked",IF(Table2_1[[#This Row],[Stock levels]]&gt;=51,"Optimal Stock",IF(Table2_1[[#This Row],[Stock levels]]&gt;=21,"Low stocked","Critical Stock")))</f>
        <v>Low stocked</v>
      </c>
      <c r="J31" s="7">
        <v>5</v>
      </c>
      <c r="K31" s="7" t="str">
        <f>IF(Table2_1[[#This Row],[Lead times]]&gt;=20,"High",IF(Table2_1[[#This Row],[Lead times]]&gt;=10,"Medium","Low"))</f>
        <v>Low</v>
      </c>
      <c r="L31" s="7">
        <f>IFERROR(Table2_1[[#This Row],[Order quantities]]/Table2_1[[#This Row],[Stock levels]],0)</f>
        <v>1.4888888888888889</v>
      </c>
      <c r="M31" s="7" t="str">
        <f>IF(Table2_1[[#This Row],[Inventory Movement Index]]&gt;=2,"Fast Moving",IF(Table2_1[[#This Row],[Inventory Movement Index]]&gt;=1,"Normal","Slow Moving"))</f>
        <v>Normal</v>
      </c>
      <c r="N31" s="7">
        <v>67</v>
      </c>
      <c r="O31" s="7">
        <v>7</v>
      </c>
      <c r="P31" s="8" t="s">
        <v>27</v>
      </c>
      <c r="Q31" s="9">
        <v>8.1010000000000009</v>
      </c>
      <c r="R31" s="10" t="s">
        <v>39</v>
      </c>
      <c r="S31" s="10" t="s">
        <v>45</v>
      </c>
      <c r="T31" s="11">
        <v>16</v>
      </c>
      <c r="U31" s="11">
        <v>329</v>
      </c>
      <c r="V31" s="11">
        <v>7</v>
      </c>
      <c r="W31" s="12">
        <v>39.292900000000003</v>
      </c>
      <c r="X31" s="13" t="s">
        <v>64</v>
      </c>
      <c r="Y31" s="13">
        <v>3.8780990000000002</v>
      </c>
      <c r="Z31" s="13">
        <v>387.81</v>
      </c>
      <c r="AA31" s="14" t="s">
        <v>31</v>
      </c>
      <c r="AB31" s="14" t="s">
        <v>32</v>
      </c>
      <c r="AC31" s="15">
        <v>764.93539999999996</v>
      </c>
    </row>
    <row r="32" spans="1:29" x14ac:dyDescent="0.35">
      <c r="A32" s="5" t="s">
        <v>155</v>
      </c>
      <c r="B32" s="5" t="s">
        <v>84</v>
      </c>
      <c r="C32" s="6">
        <v>8.0228999999999999</v>
      </c>
      <c r="D32" s="5">
        <v>10</v>
      </c>
      <c r="E32" s="5">
        <v>327</v>
      </c>
      <c r="F32" s="6">
        <v>2766.3424</v>
      </c>
      <c r="G32" s="5" t="s">
        <v>55</v>
      </c>
      <c r="H32" s="7">
        <v>60</v>
      </c>
      <c r="I32" s="7" t="str">
        <f>IF(Table2_1[[#This Row],[Stock levels]]&gt;=71,"OverStocked",IF(Table2_1[[#This Row],[Stock levels]]&gt;=51,"Optimal Stock",IF(Table2_1[[#This Row],[Stock levels]]&gt;=21,"Low stocked","Critical Stock")))</f>
        <v>Optimal Stock</v>
      </c>
      <c r="J32" s="7">
        <v>26</v>
      </c>
      <c r="K32" s="7" t="str">
        <f>IF(Table2_1[[#This Row],[Lead times]]&gt;=20,"High",IF(Table2_1[[#This Row],[Lead times]]&gt;=10,"Medium","Low"))</f>
        <v>High</v>
      </c>
      <c r="L32" s="7">
        <f>IFERROR(Table2_1[[#This Row],[Order quantities]]/Table2_1[[#This Row],[Stock levels]],0)</f>
        <v>0.58333333333333337</v>
      </c>
      <c r="M32" s="7" t="str">
        <f>IF(Table2_1[[#This Row],[Inventory Movement Index]]&gt;=2,"Fast Moving",IF(Table2_1[[#This Row],[Inventory Movement Index]]&gt;=1,"Normal","Slow Moving"))</f>
        <v>Slow Moving</v>
      </c>
      <c r="N32" s="7">
        <v>35</v>
      </c>
      <c r="O32" s="7">
        <v>7</v>
      </c>
      <c r="P32" s="8" t="s">
        <v>27</v>
      </c>
      <c r="Q32" s="9">
        <v>8.9544999999999995</v>
      </c>
      <c r="R32" s="10" t="s">
        <v>52</v>
      </c>
      <c r="S32" s="10" t="s">
        <v>45</v>
      </c>
      <c r="T32" s="11">
        <v>27</v>
      </c>
      <c r="U32" s="11">
        <v>806</v>
      </c>
      <c r="V32" s="11">
        <v>30</v>
      </c>
      <c r="W32" s="12">
        <v>51.634900000000002</v>
      </c>
      <c r="X32" s="13" t="s">
        <v>30</v>
      </c>
      <c r="Y32" s="13">
        <v>0.965395</v>
      </c>
      <c r="Z32" s="13">
        <v>96.54</v>
      </c>
      <c r="AA32" s="14" t="s">
        <v>31</v>
      </c>
      <c r="AB32" s="14" t="s">
        <v>41</v>
      </c>
      <c r="AC32" s="15">
        <v>880.08100000000002</v>
      </c>
    </row>
    <row r="33" spans="1:29" x14ac:dyDescent="0.35">
      <c r="A33" s="5" t="s">
        <v>156</v>
      </c>
      <c r="B33" s="5" t="s">
        <v>85</v>
      </c>
      <c r="C33" s="6">
        <v>50.8474</v>
      </c>
      <c r="D33" s="5">
        <v>28</v>
      </c>
      <c r="E33" s="5">
        <v>168</v>
      </c>
      <c r="F33" s="6">
        <v>9655.1350999999995</v>
      </c>
      <c r="G33" s="5" t="s">
        <v>55</v>
      </c>
      <c r="H33" s="7">
        <v>6</v>
      </c>
      <c r="I33" s="7" t="str">
        <f>IF(Table2_1[[#This Row],[Stock levels]]&gt;=71,"OverStocked",IF(Table2_1[[#This Row],[Stock levels]]&gt;=51,"Optimal Stock",IF(Table2_1[[#This Row],[Stock levels]]&gt;=21,"Low stocked","Critical Stock")))</f>
        <v>Critical Stock</v>
      </c>
      <c r="J33" s="7">
        <v>17</v>
      </c>
      <c r="K33" s="7" t="str">
        <f>IF(Table2_1[[#This Row],[Lead times]]&gt;=20,"High",IF(Table2_1[[#This Row],[Lead times]]&gt;=10,"Medium","Low"))</f>
        <v>Medium</v>
      </c>
      <c r="L33" s="7">
        <f>IFERROR(Table2_1[[#This Row],[Order quantities]]/Table2_1[[#This Row],[Stock levels]],0)</f>
        <v>7.333333333333333</v>
      </c>
      <c r="M33" s="7" t="str">
        <f>IF(Table2_1[[#This Row],[Inventory Movement Index]]&gt;=2,"Fast Moving",IF(Table2_1[[#This Row],[Inventory Movement Index]]&gt;=1,"Normal","Slow Moving"))</f>
        <v>Fast Moving</v>
      </c>
      <c r="N33" s="7">
        <v>44</v>
      </c>
      <c r="O33" s="7">
        <v>4</v>
      </c>
      <c r="P33" s="8" t="s">
        <v>27</v>
      </c>
      <c r="Q33" s="9">
        <v>2.6797</v>
      </c>
      <c r="R33" s="10" t="s">
        <v>28</v>
      </c>
      <c r="S33" s="10" t="s">
        <v>62</v>
      </c>
      <c r="T33" s="11">
        <v>24</v>
      </c>
      <c r="U33" s="11">
        <v>461</v>
      </c>
      <c r="V33" s="11">
        <v>8</v>
      </c>
      <c r="W33" s="12">
        <v>60.251100000000001</v>
      </c>
      <c r="X33" s="13" t="s">
        <v>30</v>
      </c>
      <c r="Y33" s="13">
        <v>2.9889999999999999</v>
      </c>
      <c r="Z33" s="13">
        <v>298.89999999999998</v>
      </c>
      <c r="AA33" s="14" t="s">
        <v>47</v>
      </c>
      <c r="AB33" s="14" t="s">
        <v>41</v>
      </c>
      <c r="AC33" s="15">
        <v>609.37919999999997</v>
      </c>
    </row>
    <row r="34" spans="1:29" x14ac:dyDescent="0.35">
      <c r="A34" s="5" t="s">
        <v>156</v>
      </c>
      <c r="B34" s="5" t="s">
        <v>86</v>
      </c>
      <c r="C34" s="6">
        <v>79.209900000000005</v>
      </c>
      <c r="D34" s="5">
        <v>43</v>
      </c>
      <c r="E34" s="5">
        <v>781</v>
      </c>
      <c r="F34" s="6">
        <v>9571.5504999999994</v>
      </c>
      <c r="G34" s="5" t="s">
        <v>38</v>
      </c>
      <c r="H34" s="7">
        <v>89</v>
      </c>
      <c r="I34" s="7" t="str">
        <f>IF(Table2_1[[#This Row],[Stock levels]]&gt;=71,"OverStocked",IF(Table2_1[[#This Row],[Stock levels]]&gt;=51,"Optimal Stock",IF(Table2_1[[#This Row],[Stock levels]]&gt;=21,"Low stocked","Critical Stock")))</f>
        <v>OverStocked</v>
      </c>
      <c r="J34" s="7">
        <v>13</v>
      </c>
      <c r="K34" s="7" t="str">
        <f>IF(Table2_1[[#This Row],[Lead times]]&gt;=20,"High",IF(Table2_1[[#This Row],[Lead times]]&gt;=10,"Medium","Low"))</f>
        <v>Medium</v>
      </c>
      <c r="L34" s="7">
        <f>IFERROR(Table2_1[[#This Row],[Order quantities]]/Table2_1[[#This Row],[Stock levels]],0)</f>
        <v>0.7191011235955056</v>
      </c>
      <c r="M34" s="7" t="str">
        <f>IF(Table2_1[[#This Row],[Inventory Movement Index]]&gt;=2,"Fast Moving",IF(Table2_1[[#This Row],[Inventory Movement Index]]&gt;=1,"Normal","Slow Moving"))</f>
        <v>Slow Moving</v>
      </c>
      <c r="N34" s="7">
        <v>64</v>
      </c>
      <c r="O34" s="7">
        <v>4</v>
      </c>
      <c r="P34" s="8" t="s">
        <v>43</v>
      </c>
      <c r="Q34" s="9">
        <v>6.5991</v>
      </c>
      <c r="R34" s="10" t="s">
        <v>28</v>
      </c>
      <c r="S34" s="10" t="s">
        <v>45</v>
      </c>
      <c r="T34" s="11">
        <v>30</v>
      </c>
      <c r="U34" s="11">
        <v>737</v>
      </c>
      <c r="V34" s="11">
        <v>7</v>
      </c>
      <c r="W34" s="12">
        <v>29.692499999999999</v>
      </c>
      <c r="X34" s="13" t="s">
        <v>64</v>
      </c>
      <c r="Y34" s="13">
        <v>1.9460360000000001</v>
      </c>
      <c r="Z34" s="13">
        <v>194.6</v>
      </c>
      <c r="AA34" s="14" t="s">
        <v>31</v>
      </c>
      <c r="AB34" s="14" t="s">
        <v>48</v>
      </c>
      <c r="AC34" s="15">
        <v>761.1739</v>
      </c>
    </row>
    <row r="35" spans="1:29" x14ac:dyDescent="0.35">
      <c r="A35" s="5" t="s">
        <v>157</v>
      </c>
      <c r="B35" s="5" t="s">
        <v>87</v>
      </c>
      <c r="C35" s="6">
        <v>64.795400000000001</v>
      </c>
      <c r="D35" s="5">
        <v>63</v>
      </c>
      <c r="E35" s="5">
        <v>616</v>
      </c>
      <c r="F35" s="6">
        <v>5149.9984000000004</v>
      </c>
      <c r="G35" s="5" t="s">
        <v>26</v>
      </c>
      <c r="H35" s="7">
        <v>4</v>
      </c>
      <c r="I35" s="7" t="str">
        <f>IF(Table2_1[[#This Row],[Stock levels]]&gt;=71,"OverStocked",IF(Table2_1[[#This Row],[Stock levels]]&gt;=51,"Optimal Stock",IF(Table2_1[[#This Row],[Stock levels]]&gt;=21,"Low stocked","Critical Stock")))</f>
        <v>Critical Stock</v>
      </c>
      <c r="J35" s="7">
        <v>17</v>
      </c>
      <c r="K35" s="7" t="str">
        <f>IF(Table2_1[[#This Row],[Lead times]]&gt;=20,"High",IF(Table2_1[[#This Row],[Lead times]]&gt;=10,"Medium","Low"))</f>
        <v>Medium</v>
      </c>
      <c r="L35" s="7">
        <f>IFERROR(Table2_1[[#This Row],[Order quantities]]/Table2_1[[#This Row],[Stock levels]],0)</f>
        <v>23.75</v>
      </c>
      <c r="M35" s="7" t="str">
        <f>IF(Table2_1[[#This Row],[Inventory Movement Index]]&gt;=2,"Fast Moving",IF(Table2_1[[#This Row],[Inventory Movement Index]]&gt;=1,"Normal","Slow Moving"))</f>
        <v>Fast Moving</v>
      </c>
      <c r="N35" s="7">
        <v>95</v>
      </c>
      <c r="O35" s="7">
        <v>9</v>
      </c>
      <c r="P35" s="8" t="s">
        <v>43</v>
      </c>
      <c r="Q35" s="9">
        <v>4.8582999999999998</v>
      </c>
      <c r="R35" s="10" t="s">
        <v>44</v>
      </c>
      <c r="S35" s="10" t="s">
        <v>62</v>
      </c>
      <c r="T35" s="11">
        <v>1</v>
      </c>
      <c r="U35" s="11">
        <v>251</v>
      </c>
      <c r="V35" s="11">
        <v>23</v>
      </c>
      <c r="W35" s="12">
        <v>23.853400000000001</v>
      </c>
      <c r="X35" s="13" t="s">
        <v>46</v>
      </c>
      <c r="Y35" s="13">
        <v>3.5410460000000001</v>
      </c>
      <c r="Z35" s="13">
        <v>354.1</v>
      </c>
      <c r="AA35" s="14" t="s">
        <v>56</v>
      </c>
      <c r="AB35" s="14" t="s">
        <v>48</v>
      </c>
      <c r="AC35" s="15">
        <v>371.25529999999998</v>
      </c>
    </row>
    <row r="36" spans="1:29" x14ac:dyDescent="0.35">
      <c r="A36" s="5" t="s">
        <v>156</v>
      </c>
      <c r="B36" s="5" t="s">
        <v>88</v>
      </c>
      <c r="C36" s="6">
        <v>37.467599999999997</v>
      </c>
      <c r="D36" s="5">
        <v>96</v>
      </c>
      <c r="E36" s="5">
        <v>602</v>
      </c>
      <c r="F36" s="6">
        <v>9061.7109</v>
      </c>
      <c r="G36" s="5" t="s">
        <v>38</v>
      </c>
      <c r="H36" s="7">
        <v>1</v>
      </c>
      <c r="I36" s="7" t="str">
        <f>IF(Table2_1[[#This Row],[Stock levels]]&gt;=71,"OverStocked",IF(Table2_1[[#This Row],[Stock levels]]&gt;=51,"Optimal Stock",IF(Table2_1[[#This Row],[Stock levels]]&gt;=21,"Low stocked","Critical Stock")))</f>
        <v>Critical Stock</v>
      </c>
      <c r="J36" s="7">
        <v>26</v>
      </c>
      <c r="K36" s="7" t="str">
        <f>IF(Table2_1[[#This Row],[Lead times]]&gt;=20,"High",IF(Table2_1[[#This Row],[Lead times]]&gt;=10,"Medium","Low"))</f>
        <v>High</v>
      </c>
      <c r="L36" s="7">
        <f>IFERROR(Table2_1[[#This Row],[Order quantities]]/Table2_1[[#This Row],[Stock levels]],0)</f>
        <v>21</v>
      </c>
      <c r="M36" s="7" t="str">
        <f>IF(Table2_1[[#This Row],[Inventory Movement Index]]&gt;=2,"Fast Moving",IF(Table2_1[[#This Row],[Inventory Movement Index]]&gt;=1,"Normal","Slow Moving"))</f>
        <v>Fast Moving</v>
      </c>
      <c r="N36" s="7">
        <v>21</v>
      </c>
      <c r="O36" s="7">
        <v>7</v>
      </c>
      <c r="P36" s="8" t="s">
        <v>36</v>
      </c>
      <c r="Q36" s="9">
        <v>1.0195000000000001</v>
      </c>
      <c r="R36" s="10" t="s">
        <v>39</v>
      </c>
      <c r="S36" s="10" t="s">
        <v>62</v>
      </c>
      <c r="T36" s="11">
        <v>4</v>
      </c>
      <c r="U36" s="11">
        <v>452</v>
      </c>
      <c r="V36" s="11">
        <v>10</v>
      </c>
      <c r="W36" s="12">
        <v>10.754300000000001</v>
      </c>
      <c r="X36" s="13" t="s">
        <v>64</v>
      </c>
      <c r="Y36" s="13">
        <v>0.64660499999999999</v>
      </c>
      <c r="Z36" s="13">
        <v>64.66</v>
      </c>
      <c r="AA36" s="14" t="s">
        <v>31</v>
      </c>
      <c r="AB36" s="14" t="s">
        <v>32</v>
      </c>
      <c r="AC36" s="15">
        <v>510.358</v>
      </c>
    </row>
    <row r="37" spans="1:29" x14ac:dyDescent="0.35">
      <c r="A37" s="5" t="s">
        <v>157</v>
      </c>
      <c r="B37" s="5" t="s">
        <v>89</v>
      </c>
      <c r="C37" s="6">
        <v>84.957800000000006</v>
      </c>
      <c r="D37" s="5">
        <v>11</v>
      </c>
      <c r="E37" s="5">
        <v>449</v>
      </c>
      <c r="F37" s="6">
        <v>6541.3293000000003</v>
      </c>
      <c r="G37" s="5" t="s">
        <v>35</v>
      </c>
      <c r="H37" s="7">
        <v>42</v>
      </c>
      <c r="I37" s="7" t="str">
        <f>IF(Table2_1[[#This Row],[Stock levels]]&gt;=71,"OverStocked",IF(Table2_1[[#This Row],[Stock levels]]&gt;=51,"Optimal Stock",IF(Table2_1[[#This Row],[Stock levels]]&gt;=21,"Low stocked","Critical Stock")))</f>
        <v>Low stocked</v>
      </c>
      <c r="J37" s="7">
        <v>27</v>
      </c>
      <c r="K37" s="7" t="str">
        <f>IF(Table2_1[[#This Row],[Lead times]]&gt;=20,"High",IF(Table2_1[[#This Row],[Lead times]]&gt;=10,"Medium","Low"))</f>
        <v>High</v>
      </c>
      <c r="L37" s="7">
        <f>IFERROR(Table2_1[[#This Row],[Order quantities]]/Table2_1[[#This Row],[Stock levels]],0)</f>
        <v>2.0238095238095237</v>
      </c>
      <c r="M37" s="7" t="str">
        <f>IF(Table2_1[[#This Row],[Inventory Movement Index]]&gt;=2,"Fast Moving",IF(Table2_1[[#This Row],[Inventory Movement Index]]&gt;=1,"Normal","Slow Moving"))</f>
        <v>Fast Moving</v>
      </c>
      <c r="N37" s="7">
        <v>85</v>
      </c>
      <c r="O37" s="7">
        <v>8</v>
      </c>
      <c r="P37" s="8" t="s">
        <v>43</v>
      </c>
      <c r="Q37" s="9">
        <v>5.2881999999999998</v>
      </c>
      <c r="R37" s="10" t="s">
        <v>39</v>
      </c>
      <c r="S37" s="10" t="s">
        <v>50</v>
      </c>
      <c r="T37" s="11">
        <v>3</v>
      </c>
      <c r="U37" s="11">
        <v>367</v>
      </c>
      <c r="V37" s="11">
        <v>2</v>
      </c>
      <c r="W37" s="12">
        <v>58.004800000000003</v>
      </c>
      <c r="X37" s="13" t="s">
        <v>64</v>
      </c>
      <c r="Y37" s="13">
        <v>0.54115400000000002</v>
      </c>
      <c r="Z37" s="13">
        <v>54.12</v>
      </c>
      <c r="AA37" s="14" t="s">
        <v>56</v>
      </c>
      <c r="AB37" s="14" t="s">
        <v>41</v>
      </c>
      <c r="AC37" s="15">
        <v>553.42049999999995</v>
      </c>
    </row>
    <row r="38" spans="1:29" x14ac:dyDescent="0.35">
      <c r="A38" s="5" t="s">
        <v>156</v>
      </c>
      <c r="B38" s="5" t="s">
        <v>90</v>
      </c>
      <c r="C38" s="6">
        <v>9.8130000000000006</v>
      </c>
      <c r="D38" s="5">
        <v>34</v>
      </c>
      <c r="E38" s="5">
        <v>963</v>
      </c>
      <c r="F38" s="6">
        <v>7573.4025000000001</v>
      </c>
      <c r="G38" s="5" t="s">
        <v>35</v>
      </c>
      <c r="H38" s="7">
        <v>18</v>
      </c>
      <c r="I38" s="7" t="str">
        <f>IF(Table2_1[[#This Row],[Stock levels]]&gt;=71,"OverStocked",IF(Table2_1[[#This Row],[Stock levels]]&gt;=51,"Optimal Stock",IF(Table2_1[[#This Row],[Stock levels]]&gt;=21,"Low stocked","Critical Stock")))</f>
        <v>Critical Stock</v>
      </c>
      <c r="J38" s="7">
        <v>23</v>
      </c>
      <c r="K38" s="7" t="str">
        <f>IF(Table2_1[[#This Row],[Lead times]]&gt;=20,"High",IF(Table2_1[[#This Row],[Lead times]]&gt;=10,"Medium","Low"))</f>
        <v>High</v>
      </c>
      <c r="L38" s="7">
        <f>IFERROR(Table2_1[[#This Row],[Order quantities]]/Table2_1[[#This Row],[Stock levels]],0)</f>
        <v>1.5555555555555556</v>
      </c>
      <c r="M38" s="7" t="str">
        <f>IF(Table2_1[[#This Row],[Inventory Movement Index]]&gt;=2,"Fast Moving",IF(Table2_1[[#This Row],[Inventory Movement Index]]&gt;=1,"Normal","Slow Moving"))</f>
        <v>Normal</v>
      </c>
      <c r="N38" s="7">
        <v>28</v>
      </c>
      <c r="O38" s="7">
        <v>3</v>
      </c>
      <c r="P38" s="8" t="s">
        <v>27</v>
      </c>
      <c r="Q38" s="9">
        <v>2.1080000000000001</v>
      </c>
      <c r="R38" s="10" t="s">
        <v>61</v>
      </c>
      <c r="S38" s="10" t="s">
        <v>50</v>
      </c>
      <c r="T38" s="11">
        <v>26</v>
      </c>
      <c r="U38" s="11">
        <v>671</v>
      </c>
      <c r="V38" s="11">
        <v>19</v>
      </c>
      <c r="W38" s="12">
        <v>45.531399999999998</v>
      </c>
      <c r="X38" s="13" t="s">
        <v>46</v>
      </c>
      <c r="Y38" s="13">
        <v>3.8055330000000001</v>
      </c>
      <c r="Z38" s="13">
        <v>380.55</v>
      </c>
      <c r="AA38" s="14" t="s">
        <v>40</v>
      </c>
      <c r="AB38" s="14" t="s">
        <v>41</v>
      </c>
      <c r="AC38" s="15">
        <v>403.80900000000003</v>
      </c>
    </row>
    <row r="39" spans="1:29" x14ac:dyDescent="0.35">
      <c r="A39" s="5" t="s">
        <v>156</v>
      </c>
      <c r="B39" s="5" t="s">
        <v>91</v>
      </c>
      <c r="C39" s="6">
        <v>23.399799999999999</v>
      </c>
      <c r="D39" s="5">
        <v>5</v>
      </c>
      <c r="E39" s="5">
        <v>963</v>
      </c>
      <c r="F39" s="6">
        <v>2438.3398999999999</v>
      </c>
      <c r="G39" s="5" t="s">
        <v>35</v>
      </c>
      <c r="H39" s="7">
        <v>25</v>
      </c>
      <c r="I39" s="7" t="str">
        <f>IF(Table2_1[[#This Row],[Stock levels]]&gt;=71,"OverStocked",IF(Table2_1[[#This Row],[Stock levels]]&gt;=51,"Optimal Stock",IF(Table2_1[[#This Row],[Stock levels]]&gt;=21,"Low stocked","Critical Stock")))</f>
        <v>Low stocked</v>
      </c>
      <c r="J39" s="7">
        <v>8</v>
      </c>
      <c r="K39" s="7" t="str">
        <f>IF(Table2_1[[#This Row],[Lead times]]&gt;=20,"High",IF(Table2_1[[#This Row],[Lead times]]&gt;=10,"Medium","Low"))</f>
        <v>Low</v>
      </c>
      <c r="L39" s="7">
        <f>IFERROR(Table2_1[[#This Row],[Order quantities]]/Table2_1[[#This Row],[Stock levels]],0)</f>
        <v>0.84</v>
      </c>
      <c r="M39" s="7" t="str">
        <f>IF(Table2_1[[#This Row],[Inventory Movement Index]]&gt;=2,"Fast Moving",IF(Table2_1[[#This Row],[Inventory Movement Index]]&gt;=1,"Normal","Slow Moving"))</f>
        <v>Slow Moving</v>
      </c>
      <c r="N39" s="7">
        <v>21</v>
      </c>
      <c r="O39" s="7">
        <v>9</v>
      </c>
      <c r="P39" s="8" t="s">
        <v>36</v>
      </c>
      <c r="Q39" s="9">
        <v>1.5327</v>
      </c>
      <c r="R39" s="10" t="s">
        <v>28</v>
      </c>
      <c r="S39" s="10" t="s">
        <v>45</v>
      </c>
      <c r="T39" s="11">
        <v>24</v>
      </c>
      <c r="U39" s="11">
        <v>867</v>
      </c>
      <c r="V39" s="11">
        <v>15</v>
      </c>
      <c r="W39" s="12">
        <v>34.343299999999999</v>
      </c>
      <c r="X39" s="13" t="s">
        <v>30</v>
      </c>
      <c r="Y39" s="13">
        <v>2.6102880000000002</v>
      </c>
      <c r="Z39" s="13">
        <v>261.02999999999997</v>
      </c>
      <c r="AA39" s="14" t="s">
        <v>56</v>
      </c>
      <c r="AB39" s="14" t="s">
        <v>48</v>
      </c>
      <c r="AC39" s="15">
        <v>183.93299999999999</v>
      </c>
    </row>
    <row r="40" spans="1:29" x14ac:dyDescent="0.35">
      <c r="A40" s="5" t="s">
        <v>157</v>
      </c>
      <c r="B40" s="5" t="s">
        <v>92</v>
      </c>
      <c r="C40" s="6">
        <v>52.075899999999997</v>
      </c>
      <c r="D40" s="5">
        <v>75</v>
      </c>
      <c r="E40" s="5">
        <v>705</v>
      </c>
      <c r="F40" s="6">
        <v>9692.3179999999993</v>
      </c>
      <c r="G40" s="5" t="s">
        <v>26</v>
      </c>
      <c r="H40" s="7">
        <v>69</v>
      </c>
      <c r="I40" s="7" t="str">
        <f>IF(Table2_1[[#This Row],[Stock levels]]&gt;=71,"OverStocked",IF(Table2_1[[#This Row],[Stock levels]]&gt;=51,"Optimal Stock",IF(Table2_1[[#This Row],[Stock levels]]&gt;=21,"Low stocked","Critical Stock")))</f>
        <v>Optimal Stock</v>
      </c>
      <c r="J40" s="7">
        <v>1</v>
      </c>
      <c r="K40" s="7" t="str">
        <f>IF(Table2_1[[#This Row],[Lead times]]&gt;=20,"High",IF(Table2_1[[#This Row],[Lead times]]&gt;=10,"Medium","Low"))</f>
        <v>Low</v>
      </c>
      <c r="L40" s="7">
        <f>IFERROR(Table2_1[[#This Row],[Order quantities]]/Table2_1[[#This Row],[Stock levels]],0)</f>
        <v>1.2753623188405796</v>
      </c>
      <c r="M40" s="7" t="str">
        <f>IF(Table2_1[[#This Row],[Inventory Movement Index]]&gt;=2,"Fast Moving",IF(Table2_1[[#This Row],[Inventory Movement Index]]&gt;=1,"Normal","Slow Moving"))</f>
        <v>Normal</v>
      </c>
      <c r="N40" s="7">
        <v>88</v>
      </c>
      <c r="O40" s="7">
        <v>5</v>
      </c>
      <c r="P40" s="8" t="s">
        <v>27</v>
      </c>
      <c r="Q40" s="9">
        <v>9.2359000000000009</v>
      </c>
      <c r="R40" s="10" t="s">
        <v>44</v>
      </c>
      <c r="S40" s="10" t="s">
        <v>29</v>
      </c>
      <c r="T40" s="11">
        <v>10</v>
      </c>
      <c r="U40" s="11">
        <v>841</v>
      </c>
      <c r="V40" s="11">
        <v>12</v>
      </c>
      <c r="W40" s="12">
        <v>5.9306999999999999</v>
      </c>
      <c r="X40" s="13" t="s">
        <v>30</v>
      </c>
      <c r="Y40" s="13">
        <v>0.61332699999999996</v>
      </c>
      <c r="Z40" s="13">
        <v>61.33</v>
      </c>
      <c r="AA40" s="14" t="s">
        <v>40</v>
      </c>
      <c r="AB40" s="14" t="s">
        <v>32</v>
      </c>
      <c r="AC40" s="15">
        <v>339.67290000000003</v>
      </c>
    </row>
    <row r="41" spans="1:29" x14ac:dyDescent="0.35">
      <c r="A41" s="5" t="s">
        <v>156</v>
      </c>
      <c r="B41" s="5" t="s">
        <v>93</v>
      </c>
      <c r="C41" s="6">
        <v>19.127500000000001</v>
      </c>
      <c r="D41" s="5">
        <v>26</v>
      </c>
      <c r="E41" s="5">
        <v>176</v>
      </c>
      <c r="F41" s="6">
        <v>1912.4657</v>
      </c>
      <c r="G41" s="5" t="s">
        <v>35</v>
      </c>
      <c r="H41" s="7">
        <v>78</v>
      </c>
      <c r="I41" s="7" t="str">
        <f>IF(Table2_1[[#This Row],[Stock levels]]&gt;=71,"OverStocked",IF(Table2_1[[#This Row],[Stock levels]]&gt;=51,"Optimal Stock",IF(Table2_1[[#This Row],[Stock levels]]&gt;=21,"Low stocked","Critical Stock")))</f>
        <v>OverStocked</v>
      </c>
      <c r="J41" s="7">
        <v>29</v>
      </c>
      <c r="K41" s="7" t="str">
        <f>IF(Table2_1[[#This Row],[Lead times]]&gt;=20,"High",IF(Table2_1[[#This Row],[Lead times]]&gt;=10,"Medium","Low"))</f>
        <v>High</v>
      </c>
      <c r="L41" s="7">
        <f>IFERROR(Table2_1[[#This Row],[Order quantities]]/Table2_1[[#This Row],[Stock levels]],0)</f>
        <v>0.4358974358974359</v>
      </c>
      <c r="M41" s="7" t="str">
        <f>IF(Table2_1[[#This Row],[Inventory Movement Index]]&gt;=2,"Fast Moving",IF(Table2_1[[#This Row],[Inventory Movement Index]]&gt;=1,"Normal","Slow Moving"))</f>
        <v>Slow Moving</v>
      </c>
      <c r="N41" s="7">
        <v>34</v>
      </c>
      <c r="O41" s="7">
        <v>3</v>
      </c>
      <c r="P41" s="8" t="s">
        <v>36</v>
      </c>
      <c r="Q41" s="9">
        <v>5.5625</v>
      </c>
      <c r="R41" s="10" t="s">
        <v>61</v>
      </c>
      <c r="S41" s="10" t="s">
        <v>45</v>
      </c>
      <c r="T41" s="11">
        <v>30</v>
      </c>
      <c r="U41" s="11">
        <v>791</v>
      </c>
      <c r="V41" s="11">
        <v>6</v>
      </c>
      <c r="W41" s="12">
        <v>9.0058000000000007</v>
      </c>
      <c r="X41" s="13" t="s">
        <v>46</v>
      </c>
      <c r="Y41" s="13">
        <v>1.451972</v>
      </c>
      <c r="Z41" s="13">
        <v>145.19999999999999</v>
      </c>
      <c r="AA41" s="14" t="s">
        <v>40</v>
      </c>
      <c r="AB41" s="14" t="s">
        <v>32</v>
      </c>
      <c r="AC41" s="15">
        <v>653.673</v>
      </c>
    </row>
    <row r="42" spans="1:29" x14ac:dyDescent="0.35">
      <c r="A42" s="5" t="s">
        <v>156</v>
      </c>
      <c r="B42" s="5" t="s">
        <v>94</v>
      </c>
      <c r="C42" s="6">
        <v>80.541399999999996</v>
      </c>
      <c r="D42" s="5">
        <v>97</v>
      </c>
      <c r="E42" s="5">
        <v>933</v>
      </c>
      <c r="F42" s="6">
        <v>5724.9593999999997</v>
      </c>
      <c r="G42" s="5" t="s">
        <v>35</v>
      </c>
      <c r="H42" s="7">
        <v>90</v>
      </c>
      <c r="I42" s="7" t="str">
        <f>IF(Table2_1[[#This Row],[Stock levels]]&gt;=71,"OverStocked",IF(Table2_1[[#This Row],[Stock levels]]&gt;=51,"Optimal Stock",IF(Table2_1[[#This Row],[Stock levels]]&gt;=21,"Low stocked","Critical Stock")))</f>
        <v>OverStocked</v>
      </c>
      <c r="J42" s="7">
        <v>20</v>
      </c>
      <c r="K42" s="7" t="str">
        <f>IF(Table2_1[[#This Row],[Lead times]]&gt;=20,"High",IF(Table2_1[[#This Row],[Lead times]]&gt;=10,"Medium","Low"))</f>
        <v>High</v>
      </c>
      <c r="L42" s="7">
        <f>IFERROR(Table2_1[[#This Row],[Order quantities]]/Table2_1[[#This Row],[Stock levels]],0)</f>
        <v>0.43333333333333335</v>
      </c>
      <c r="M42" s="7" t="str">
        <f>IF(Table2_1[[#This Row],[Inventory Movement Index]]&gt;=2,"Fast Moving",IF(Table2_1[[#This Row],[Inventory Movement Index]]&gt;=1,"Normal","Slow Moving"))</f>
        <v>Slow Moving</v>
      </c>
      <c r="N42" s="7">
        <v>39</v>
      </c>
      <c r="O42" s="7">
        <v>8</v>
      </c>
      <c r="P42" s="8" t="s">
        <v>43</v>
      </c>
      <c r="Q42" s="9">
        <v>7.2295999999999996</v>
      </c>
      <c r="R42" s="10" t="s">
        <v>39</v>
      </c>
      <c r="S42" s="10" t="s">
        <v>45</v>
      </c>
      <c r="T42" s="11">
        <v>18</v>
      </c>
      <c r="U42" s="11">
        <v>793</v>
      </c>
      <c r="V42" s="11">
        <v>1</v>
      </c>
      <c r="W42" s="12">
        <v>88.179400000000001</v>
      </c>
      <c r="X42" s="13" t="s">
        <v>30</v>
      </c>
      <c r="Y42" s="13">
        <v>4.2132690000000004</v>
      </c>
      <c r="Z42" s="13">
        <v>421.33</v>
      </c>
      <c r="AA42" s="14" t="s">
        <v>31</v>
      </c>
      <c r="AB42" s="14" t="s">
        <v>48</v>
      </c>
      <c r="AC42" s="15">
        <v>529.80870000000004</v>
      </c>
    </row>
    <row r="43" spans="1:29" x14ac:dyDescent="0.35">
      <c r="A43" s="5" t="s">
        <v>156</v>
      </c>
      <c r="B43" s="5" t="s">
        <v>95</v>
      </c>
      <c r="C43" s="6">
        <v>99.113299999999995</v>
      </c>
      <c r="D43" s="5">
        <v>35</v>
      </c>
      <c r="E43" s="5">
        <v>556</v>
      </c>
      <c r="F43" s="6">
        <v>5521.2052999999996</v>
      </c>
      <c r="G43" s="5" t="s">
        <v>35</v>
      </c>
      <c r="H43" s="7">
        <v>64</v>
      </c>
      <c r="I43" s="7" t="str">
        <f>IF(Table2_1[[#This Row],[Stock levels]]&gt;=71,"OverStocked",IF(Table2_1[[#This Row],[Stock levels]]&gt;=51,"Optimal Stock",IF(Table2_1[[#This Row],[Stock levels]]&gt;=21,"Low stocked","Critical Stock")))</f>
        <v>Optimal Stock</v>
      </c>
      <c r="J43" s="7">
        <v>19</v>
      </c>
      <c r="K43" s="7" t="str">
        <f>IF(Table2_1[[#This Row],[Lead times]]&gt;=20,"High",IF(Table2_1[[#This Row],[Lead times]]&gt;=10,"Medium","Low"))</f>
        <v>Medium</v>
      </c>
      <c r="L43" s="7">
        <f>IFERROR(Table2_1[[#This Row],[Order quantities]]/Table2_1[[#This Row],[Stock levels]],0)</f>
        <v>0.59375</v>
      </c>
      <c r="M43" s="7" t="str">
        <f>IF(Table2_1[[#This Row],[Inventory Movement Index]]&gt;=2,"Fast Moving",IF(Table2_1[[#This Row],[Inventory Movement Index]]&gt;=1,"Normal","Slow Moving"))</f>
        <v>Slow Moving</v>
      </c>
      <c r="N43" s="7">
        <v>38</v>
      </c>
      <c r="O43" s="7">
        <v>8</v>
      </c>
      <c r="P43" s="8" t="s">
        <v>27</v>
      </c>
      <c r="Q43" s="9">
        <v>5.7732999999999999</v>
      </c>
      <c r="R43" s="10" t="s">
        <v>52</v>
      </c>
      <c r="S43" s="10" t="s">
        <v>62</v>
      </c>
      <c r="T43" s="11">
        <v>18</v>
      </c>
      <c r="U43" s="11">
        <v>892</v>
      </c>
      <c r="V43" s="11">
        <v>7</v>
      </c>
      <c r="W43" s="12">
        <v>95.332099999999997</v>
      </c>
      <c r="X43" s="13" t="s">
        <v>46</v>
      </c>
      <c r="Y43" s="13">
        <v>4.5302000000000002E-2</v>
      </c>
      <c r="Z43" s="13">
        <v>4.53</v>
      </c>
      <c r="AA43" s="14" t="s">
        <v>56</v>
      </c>
      <c r="AB43" s="14" t="s">
        <v>48</v>
      </c>
      <c r="AC43" s="15">
        <v>275.52440000000001</v>
      </c>
    </row>
    <row r="44" spans="1:29" x14ac:dyDescent="0.35">
      <c r="A44" s="5" t="s">
        <v>156</v>
      </c>
      <c r="B44" s="5" t="s">
        <v>96</v>
      </c>
      <c r="C44" s="6">
        <v>46.529200000000003</v>
      </c>
      <c r="D44" s="5">
        <v>98</v>
      </c>
      <c r="E44" s="5">
        <v>155</v>
      </c>
      <c r="F44" s="6">
        <v>1839.6094000000001</v>
      </c>
      <c r="G44" s="5" t="s">
        <v>35</v>
      </c>
      <c r="H44" s="7">
        <v>22</v>
      </c>
      <c r="I44" s="7" t="str">
        <f>IF(Table2_1[[#This Row],[Stock levels]]&gt;=71,"OverStocked",IF(Table2_1[[#This Row],[Stock levels]]&gt;=51,"Optimal Stock",IF(Table2_1[[#This Row],[Stock levels]]&gt;=21,"Low stocked","Critical Stock")))</f>
        <v>Low stocked</v>
      </c>
      <c r="J44" s="7">
        <v>27</v>
      </c>
      <c r="K44" s="7" t="str">
        <f>IF(Table2_1[[#This Row],[Lead times]]&gt;=20,"High",IF(Table2_1[[#This Row],[Lead times]]&gt;=10,"Medium","Low"))</f>
        <v>High</v>
      </c>
      <c r="L44" s="7">
        <f>IFERROR(Table2_1[[#This Row],[Order quantities]]/Table2_1[[#This Row],[Stock levels]],0)</f>
        <v>2.5909090909090908</v>
      </c>
      <c r="M44" s="7" t="str">
        <f>IF(Table2_1[[#This Row],[Inventory Movement Index]]&gt;=2,"Fast Moving",IF(Table2_1[[#This Row],[Inventory Movement Index]]&gt;=1,"Normal","Slow Moving"))</f>
        <v>Fast Moving</v>
      </c>
      <c r="N44" s="7">
        <v>57</v>
      </c>
      <c r="O44" s="7">
        <v>4</v>
      </c>
      <c r="P44" s="8" t="s">
        <v>43</v>
      </c>
      <c r="Q44" s="9">
        <v>7.5262000000000002</v>
      </c>
      <c r="R44" s="10" t="s">
        <v>44</v>
      </c>
      <c r="S44" s="10" t="s">
        <v>53</v>
      </c>
      <c r="T44" s="11">
        <v>26</v>
      </c>
      <c r="U44" s="11">
        <v>179</v>
      </c>
      <c r="V44" s="11">
        <v>7</v>
      </c>
      <c r="W44" s="12">
        <v>96.422799999999995</v>
      </c>
      <c r="X44" s="13" t="s">
        <v>46</v>
      </c>
      <c r="Y44" s="13">
        <v>4.9392550000000002</v>
      </c>
      <c r="Z44" s="13">
        <v>493.93</v>
      </c>
      <c r="AA44" s="14" t="s">
        <v>31</v>
      </c>
      <c r="AB44" s="14" t="s">
        <v>48</v>
      </c>
      <c r="AC44" s="15">
        <v>635.65710000000001</v>
      </c>
    </row>
    <row r="45" spans="1:29" x14ac:dyDescent="0.35">
      <c r="A45" s="5" t="s">
        <v>155</v>
      </c>
      <c r="B45" s="5" t="s">
        <v>97</v>
      </c>
      <c r="C45" s="6">
        <v>11.7433</v>
      </c>
      <c r="D45" s="5">
        <v>6</v>
      </c>
      <c r="E45" s="5">
        <v>598</v>
      </c>
      <c r="F45" s="6">
        <v>5737.4255999999996</v>
      </c>
      <c r="G45" s="5" t="s">
        <v>38</v>
      </c>
      <c r="H45" s="7">
        <v>36</v>
      </c>
      <c r="I45" s="7" t="str">
        <f>IF(Table2_1[[#This Row],[Stock levels]]&gt;=71,"OverStocked",IF(Table2_1[[#This Row],[Stock levels]]&gt;=51,"Optimal Stock",IF(Table2_1[[#This Row],[Stock levels]]&gt;=21,"Low stocked","Critical Stock")))</f>
        <v>Low stocked</v>
      </c>
      <c r="J45" s="7">
        <v>29</v>
      </c>
      <c r="K45" s="7" t="str">
        <f>IF(Table2_1[[#This Row],[Lead times]]&gt;=20,"High",IF(Table2_1[[#This Row],[Lead times]]&gt;=10,"Medium","Low"))</f>
        <v>High</v>
      </c>
      <c r="L45" s="7">
        <f>IFERROR(Table2_1[[#This Row],[Order quantities]]/Table2_1[[#This Row],[Stock levels]],0)</f>
        <v>2.3611111111111112</v>
      </c>
      <c r="M45" s="7" t="str">
        <f>IF(Table2_1[[#This Row],[Inventory Movement Index]]&gt;=2,"Fast Moving",IF(Table2_1[[#This Row],[Inventory Movement Index]]&gt;=1,"Normal","Slow Moving"))</f>
        <v>Fast Moving</v>
      </c>
      <c r="N45" s="7">
        <v>85</v>
      </c>
      <c r="O45" s="7">
        <v>9</v>
      </c>
      <c r="P45" s="8" t="s">
        <v>27</v>
      </c>
      <c r="Q45" s="9">
        <v>3.694</v>
      </c>
      <c r="R45" s="10" t="s">
        <v>44</v>
      </c>
      <c r="S45" s="10" t="s">
        <v>29</v>
      </c>
      <c r="T45" s="11">
        <v>1</v>
      </c>
      <c r="U45" s="11">
        <v>206</v>
      </c>
      <c r="V45" s="11">
        <v>23</v>
      </c>
      <c r="W45" s="12">
        <v>26.2774</v>
      </c>
      <c r="X45" s="13" t="s">
        <v>30</v>
      </c>
      <c r="Y45" s="13">
        <v>0.372305</v>
      </c>
      <c r="Z45" s="13">
        <v>37.229999999999997</v>
      </c>
      <c r="AA45" s="14" t="s">
        <v>40</v>
      </c>
      <c r="AB45" s="14" t="s">
        <v>48</v>
      </c>
      <c r="AC45" s="15">
        <v>716.04409999999996</v>
      </c>
    </row>
    <row r="46" spans="1:29" x14ac:dyDescent="0.35">
      <c r="A46" s="5" t="s">
        <v>157</v>
      </c>
      <c r="B46" s="5" t="s">
        <v>98</v>
      </c>
      <c r="C46" s="6">
        <v>51.355800000000002</v>
      </c>
      <c r="D46" s="5">
        <v>34</v>
      </c>
      <c r="E46" s="5">
        <v>919</v>
      </c>
      <c r="F46" s="6">
        <v>7152.2860000000001</v>
      </c>
      <c r="G46" s="5" t="s">
        <v>35</v>
      </c>
      <c r="H46" s="7">
        <v>13</v>
      </c>
      <c r="I46" s="7" t="str">
        <f>IF(Table2_1[[#This Row],[Stock levels]]&gt;=71,"OverStocked",IF(Table2_1[[#This Row],[Stock levels]]&gt;=51,"Optimal Stock",IF(Table2_1[[#This Row],[Stock levels]]&gt;=21,"Low stocked","Critical Stock")))</f>
        <v>Critical Stock</v>
      </c>
      <c r="J46" s="7">
        <v>19</v>
      </c>
      <c r="K46" s="7" t="str">
        <f>IF(Table2_1[[#This Row],[Lead times]]&gt;=20,"High",IF(Table2_1[[#This Row],[Lead times]]&gt;=10,"Medium","Low"))</f>
        <v>Medium</v>
      </c>
      <c r="L46" s="7">
        <f>IFERROR(Table2_1[[#This Row],[Order quantities]]/Table2_1[[#This Row],[Stock levels]],0)</f>
        <v>5.5384615384615383</v>
      </c>
      <c r="M46" s="7" t="str">
        <f>IF(Table2_1[[#This Row],[Inventory Movement Index]]&gt;=2,"Fast Moving",IF(Table2_1[[#This Row],[Inventory Movement Index]]&gt;=1,"Normal","Slow Moving"))</f>
        <v>Fast Moving</v>
      </c>
      <c r="N46" s="7">
        <v>72</v>
      </c>
      <c r="O46" s="7">
        <v>6</v>
      </c>
      <c r="P46" s="8" t="s">
        <v>43</v>
      </c>
      <c r="Q46" s="9">
        <v>7.5773999999999999</v>
      </c>
      <c r="R46" s="10" t="s">
        <v>61</v>
      </c>
      <c r="S46" s="10" t="s">
        <v>50</v>
      </c>
      <c r="T46" s="11">
        <v>7</v>
      </c>
      <c r="U46" s="11">
        <v>834</v>
      </c>
      <c r="V46" s="11">
        <v>18</v>
      </c>
      <c r="W46" s="12">
        <v>22.554099999999998</v>
      </c>
      <c r="X46" s="13" t="s">
        <v>46</v>
      </c>
      <c r="Y46" s="13">
        <v>2.9626260000000002</v>
      </c>
      <c r="Z46" s="13">
        <v>296.26</v>
      </c>
      <c r="AA46" s="14" t="s">
        <v>47</v>
      </c>
      <c r="AB46" s="14" t="s">
        <v>48</v>
      </c>
      <c r="AC46" s="15">
        <v>610.45330000000001</v>
      </c>
    </row>
    <row r="47" spans="1:29" x14ac:dyDescent="0.35">
      <c r="A47" s="5" t="s">
        <v>155</v>
      </c>
      <c r="B47" s="5" t="s">
        <v>99</v>
      </c>
      <c r="C47" s="6">
        <v>33.784100000000002</v>
      </c>
      <c r="D47" s="5">
        <v>1</v>
      </c>
      <c r="E47" s="5">
        <v>24</v>
      </c>
      <c r="F47" s="6">
        <v>5267.9567999999999</v>
      </c>
      <c r="G47" s="5" t="s">
        <v>55</v>
      </c>
      <c r="H47" s="7">
        <v>93</v>
      </c>
      <c r="I47" s="7" t="str">
        <f>IF(Table2_1[[#This Row],[Stock levels]]&gt;=71,"OverStocked",IF(Table2_1[[#This Row],[Stock levels]]&gt;=51,"Optimal Stock",IF(Table2_1[[#This Row],[Stock levels]]&gt;=21,"Low stocked","Critical Stock")))</f>
        <v>OverStocked</v>
      </c>
      <c r="J47" s="7">
        <v>7</v>
      </c>
      <c r="K47" s="7" t="str">
        <f>IF(Table2_1[[#This Row],[Lead times]]&gt;=20,"High",IF(Table2_1[[#This Row],[Lead times]]&gt;=10,"Medium","Low"))</f>
        <v>Low</v>
      </c>
      <c r="L47" s="7">
        <f>IFERROR(Table2_1[[#This Row],[Order quantities]]/Table2_1[[#This Row],[Stock levels]],0)</f>
        <v>0.55913978494623651</v>
      </c>
      <c r="M47" s="7" t="str">
        <f>IF(Table2_1[[#This Row],[Inventory Movement Index]]&gt;=2,"Fast Moving",IF(Table2_1[[#This Row],[Inventory Movement Index]]&gt;=1,"Normal","Slow Moving"))</f>
        <v>Slow Moving</v>
      </c>
      <c r="N47" s="7">
        <v>52</v>
      </c>
      <c r="O47" s="7">
        <v>6</v>
      </c>
      <c r="P47" s="8" t="s">
        <v>27</v>
      </c>
      <c r="Q47" s="9">
        <v>5.2152000000000003</v>
      </c>
      <c r="R47" s="10" t="s">
        <v>61</v>
      </c>
      <c r="S47" s="10" t="s">
        <v>62</v>
      </c>
      <c r="T47" s="11">
        <v>25</v>
      </c>
      <c r="U47" s="11">
        <v>794</v>
      </c>
      <c r="V47" s="11">
        <v>25</v>
      </c>
      <c r="W47" s="12">
        <v>66.3125</v>
      </c>
      <c r="X47" s="13" t="s">
        <v>64</v>
      </c>
      <c r="Y47" s="13">
        <v>3.2196050000000001</v>
      </c>
      <c r="Z47" s="13">
        <v>321.95999999999998</v>
      </c>
      <c r="AA47" s="14" t="s">
        <v>47</v>
      </c>
      <c r="AB47" s="14" t="s">
        <v>48</v>
      </c>
      <c r="AC47" s="15">
        <v>495.3057</v>
      </c>
    </row>
    <row r="48" spans="1:29" x14ac:dyDescent="0.35">
      <c r="A48" s="5" t="s">
        <v>155</v>
      </c>
      <c r="B48" s="5" t="s">
        <v>100</v>
      </c>
      <c r="C48" s="6">
        <v>27.0822</v>
      </c>
      <c r="D48" s="5">
        <v>75</v>
      </c>
      <c r="E48" s="5">
        <v>859</v>
      </c>
      <c r="F48" s="6">
        <v>2556.7674000000002</v>
      </c>
      <c r="G48" s="5" t="s">
        <v>26</v>
      </c>
      <c r="H48" s="7">
        <v>92</v>
      </c>
      <c r="I48" s="7" t="str">
        <f>IF(Table2_1[[#This Row],[Stock levels]]&gt;=71,"OverStocked",IF(Table2_1[[#This Row],[Stock levels]]&gt;=51,"Optimal Stock",IF(Table2_1[[#This Row],[Stock levels]]&gt;=21,"Low stocked","Critical Stock")))</f>
        <v>OverStocked</v>
      </c>
      <c r="J48" s="7">
        <v>29</v>
      </c>
      <c r="K48" s="7" t="str">
        <f>IF(Table2_1[[#This Row],[Lead times]]&gt;=20,"High",IF(Table2_1[[#This Row],[Lead times]]&gt;=10,"Medium","Low"))</f>
        <v>High</v>
      </c>
      <c r="L48" s="7">
        <f>IFERROR(Table2_1[[#This Row],[Order quantities]]/Table2_1[[#This Row],[Stock levels]],0)</f>
        <v>6.5217391304347824E-2</v>
      </c>
      <c r="M48" s="7" t="str">
        <f>IF(Table2_1[[#This Row],[Inventory Movement Index]]&gt;=2,"Fast Moving",IF(Table2_1[[#This Row],[Inventory Movement Index]]&gt;=1,"Normal","Slow Moving"))</f>
        <v>Slow Moving</v>
      </c>
      <c r="N48" s="7">
        <v>6</v>
      </c>
      <c r="O48" s="7">
        <v>8</v>
      </c>
      <c r="P48" s="8" t="s">
        <v>27</v>
      </c>
      <c r="Q48" s="9">
        <v>4.0709999999999997</v>
      </c>
      <c r="R48" s="10" t="s">
        <v>28</v>
      </c>
      <c r="S48" s="10" t="s">
        <v>62</v>
      </c>
      <c r="T48" s="11">
        <v>18</v>
      </c>
      <c r="U48" s="11">
        <v>870</v>
      </c>
      <c r="V48" s="11">
        <v>23</v>
      </c>
      <c r="W48" s="12">
        <v>77.322400000000002</v>
      </c>
      <c r="X48" s="13" t="s">
        <v>30</v>
      </c>
      <c r="Y48" s="13">
        <v>3.6486109999999998</v>
      </c>
      <c r="Z48" s="13">
        <v>364.86</v>
      </c>
      <c r="AA48" s="14" t="s">
        <v>31</v>
      </c>
      <c r="AB48" s="14" t="s">
        <v>32</v>
      </c>
      <c r="AC48" s="15">
        <v>380.4359</v>
      </c>
    </row>
    <row r="49" spans="1:29" x14ac:dyDescent="0.35">
      <c r="A49" s="5" t="s">
        <v>156</v>
      </c>
      <c r="B49" s="5" t="s">
        <v>101</v>
      </c>
      <c r="C49" s="6">
        <v>95.712100000000007</v>
      </c>
      <c r="D49" s="5">
        <v>93</v>
      </c>
      <c r="E49" s="5">
        <v>910</v>
      </c>
      <c r="F49" s="6">
        <v>7089.4741999999997</v>
      </c>
      <c r="G49" s="5" t="s">
        <v>55</v>
      </c>
      <c r="H49" s="7">
        <v>4</v>
      </c>
      <c r="I49" s="7" t="str">
        <f>IF(Table2_1[[#This Row],[Stock levels]]&gt;=71,"OverStocked",IF(Table2_1[[#This Row],[Stock levels]]&gt;=51,"Optimal Stock",IF(Table2_1[[#This Row],[Stock levels]]&gt;=21,"Low stocked","Critical Stock")))</f>
        <v>Critical Stock</v>
      </c>
      <c r="J49" s="7">
        <v>15</v>
      </c>
      <c r="K49" s="7" t="str">
        <f>IF(Table2_1[[#This Row],[Lead times]]&gt;=20,"High",IF(Table2_1[[#This Row],[Lead times]]&gt;=10,"Medium","Low"))</f>
        <v>Medium</v>
      </c>
      <c r="L49" s="7">
        <f>IFERROR(Table2_1[[#This Row],[Order quantities]]/Table2_1[[#This Row],[Stock levels]],0)</f>
        <v>12.75</v>
      </c>
      <c r="M49" s="7" t="str">
        <f>IF(Table2_1[[#This Row],[Inventory Movement Index]]&gt;=2,"Fast Moving",IF(Table2_1[[#This Row],[Inventory Movement Index]]&gt;=1,"Normal","Slow Moving"))</f>
        <v>Fast Moving</v>
      </c>
      <c r="N49" s="7">
        <v>51</v>
      </c>
      <c r="O49" s="7">
        <v>9</v>
      </c>
      <c r="P49" s="8" t="s">
        <v>27</v>
      </c>
      <c r="Q49" s="9">
        <v>8.9787999999999997</v>
      </c>
      <c r="R49" s="10" t="s">
        <v>39</v>
      </c>
      <c r="S49" s="10" t="s">
        <v>45</v>
      </c>
      <c r="T49" s="11">
        <v>10</v>
      </c>
      <c r="U49" s="11">
        <v>964</v>
      </c>
      <c r="V49" s="11">
        <v>20</v>
      </c>
      <c r="W49" s="12">
        <v>19.713000000000001</v>
      </c>
      <c r="X49" s="13" t="s">
        <v>30</v>
      </c>
      <c r="Y49" s="13">
        <v>0.38057400000000002</v>
      </c>
      <c r="Z49" s="13">
        <v>38.06</v>
      </c>
      <c r="AA49" s="14" t="s">
        <v>47</v>
      </c>
      <c r="AB49" s="14" t="s">
        <v>48</v>
      </c>
      <c r="AC49" s="15">
        <v>581.60239999999999</v>
      </c>
    </row>
    <row r="50" spans="1:29" x14ac:dyDescent="0.35">
      <c r="A50" s="5" t="s">
        <v>155</v>
      </c>
      <c r="B50" s="5" t="s">
        <v>102</v>
      </c>
      <c r="C50" s="6">
        <v>76.035499999999999</v>
      </c>
      <c r="D50" s="5">
        <v>28</v>
      </c>
      <c r="E50" s="5">
        <v>29</v>
      </c>
      <c r="F50" s="6">
        <v>7397.0709999999999</v>
      </c>
      <c r="G50" s="5" t="s">
        <v>26</v>
      </c>
      <c r="H50" s="7">
        <v>30</v>
      </c>
      <c r="I50" s="7" t="str">
        <f>IF(Table2_1[[#This Row],[Stock levels]]&gt;=71,"OverStocked",IF(Table2_1[[#This Row],[Stock levels]]&gt;=51,"Optimal Stock",IF(Table2_1[[#This Row],[Stock levels]]&gt;=21,"Low stocked","Critical Stock")))</f>
        <v>Low stocked</v>
      </c>
      <c r="J50" s="7">
        <v>16</v>
      </c>
      <c r="K50" s="7" t="str">
        <f>IF(Table2_1[[#This Row],[Lead times]]&gt;=20,"High",IF(Table2_1[[#This Row],[Lead times]]&gt;=10,"Medium","Low"))</f>
        <v>Medium</v>
      </c>
      <c r="L50" s="7">
        <f>IFERROR(Table2_1[[#This Row],[Order quantities]]/Table2_1[[#This Row],[Stock levels]],0)</f>
        <v>0.3</v>
      </c>
      <c r="M50" s="7" t="str">
        <f>IF(Table2_1[[#This Row],[Inventory Movement Index]]&gt;=2,"Fast Moving",IF(Table2_1[[#This Row],[Inventory Movement Index]]&gt;=1,"Normal","Slow Moving"))</f>
        <v>Slow Moving</v>
      </c>
      <c r="N50" s="7">
        <v>9</v>
      </c>
      <c r="O50" s="7">
        <v>3</v>
      </c>
      <c r="P50" s="8" t="s">
        <v>43</v>
      </c>
      <c r="Q50" s="9">
        <v>7.0957999999999997</v>
      </c>
      <c r="R50" s="10" t="s">
        <v>61</v>
      </c>
      <c r="S50" s="10" t="s">
        <v>29</v>
      </c>
      <c r="T50" s="11">
        <v>9</v>
      </c>
      <c r="U50" s="11">
        <v>109</v>
      </c>
      <c r="V50" s="11">
        <v>18</v>
      </c>
      <c r="W50" s="12">
        <v>23.1264</v>
      </c>
      <c r="X50" s="13" t="s">
        <v>46</v>
      </c>
      <c r="Y50" s="13">
        <v>1.698113</v>
      </c>
      <c r="Z50" s="13">
        <v>169.81</v>
      </c>
      <c r="AA50" s="14" t="s">
        <v>47</v>
      </c>
      <c r="AB50" s="14" t="s">
        <v>32</v>
      </c>
      <c r="AC50" s="15">
        <v>768.65189999999996</v>
      </c>
    </row>
    <row r="51" spans="1:29" x14ac:dyDescent="0.35">
      <c r="A51" s="5" t="s">
        <v>157</v>
      </c>
      <c r="B51" s="5" t="s">
        <v>103</v>
      </c>
      <c r="C51" s="6">
        <v>78.897900000000007</v>
      </c>
      <c r="D51" s="5">
        <v>19</v>
      </c>
      <c r="E51" s="5">
        <v>99</v>
      </c>
      <c r="F51" s="6">
        <v>8001.6131999999998</v>
      </c>
      <c r="G51" s="5" t="s">
        <v>38</v>
      </c>
      <c r="H51" s="7">
        <v>97</v>
      </c>
      <c r="I51" s="7" t="str">
        <f>IF(Table2_1[[#This Row],[Stock levels]]&gt;=71,"OverStocked",IF(Table2_1[[#This Row],[Stock levels]]&gt;=51,"Optimal Stock",IF(Table2_1[[#This Row],[Stock levels]]&gt;=21,"Low stocked","Critical Stock")))</f>
        <v>OverStocked</v>
      </c>
      <c r="J51" s="7">
        <v>24</v>
      </c>
      <c r="K51" s="7" t="str">
        <f>IF(Table2_1[[#This Row],[Lead times]]&gt;=20,"High",IF(Table2_1[[#This Row],[Lead times]]&gt;=10,"Medium","Low"))</f>
        <v>High</v>
      </c>
      <c r="L51" s="7">
        <f>IFERROR(Table2_1[[#This Row],[Order quantities]]/Table2_1[[#This Row],[Stock levels]],0)</f>
        <v>9.2783505154639179E-2</v>
      </c>
      <c r="M51" s="7" t="str">
        <f>IF(Table2_1[[#This Row],[Inventory Movement Index]]&gt;=2,"Fast Moving",IF(Table2_1[[#This Row],[Inventory Movement Index]]&gt;=1,"Normal","Slow Moving"))</f>
        <v>Slow Moving</v>
      </c>
      <c r="N51" s="7">
        <v>9</v>
      </c>
      <c r="O51" s="7">
        <v>6</v>
      </c>
      <c r="P51" s="8" t="s">
        <v>43</v>
      </c>
      <c r="Q51" s="9">
        <v>2.5055999999999998</v>
      </c>
      <c r="R51" s="10" t="s">
        <v>44</v>
      </c>
      <c r="S51" s="10" t="s">
        <v>50</v>
      </c>
      <c r="T51" s="11">
        <v>28</v>
      </c>
      <c r="U51" s="11">
        <v>177</v>
      </c>
      <c r="V51" s="11">
        <v>28</v>
      </c>
      <c r="W51" s="12">
        <v>14.1478</v>
      </c>
      <c r="X51" s="13" t="s">
        <v>64</v>
      </c>
      <c r="Y51" s="13">
        <v>2.8258139999999998</v>
      </c>
      <c r="Z51" s="13">
        <v>282.58</v>
      </c>
      <c r="AA51" s="14" t="s">
        <v>47</v>
      </c>
      <c r="AB51" s="14" t="s">
        <v>48</v>
      </c>
      <c r="AC51" s="15">
        <v>336.89019999999999</v>
      </c>
    </row>
    <row r="52" spans="1:29" x14ac:dyDescent="0.35">
      <c r="A52" s="5" t="s">
        <v>157</v>
      </c>
      <c r="B52" s="5" t="s">
        <v>104</v>
      </c>
      <c r="C52" s="6">
        <v>14.2035</v>
      </c>
      <c r="D52" s="5">
        <v>91</v>
      </c>
      <c r="E52" s="5">
        <v>633</v>
      </c>
      <c r="F52" s="6">
        <v>5910.8854000000001</v>
      </c>
      <c r="G52" s="5" t="s">
        <v>35</v>
      </c>
      <c r="H52" s="7">
        <v>31</v>
      </c>
      <c r="I52" s="7" t="str">
        <f>IF(Table2_1[[#This Row],[Stock levels]]&gt;=71,"OverStocked",IF(Table2_1[[#This Row],[Stock levels]]&gt;=51,"Optimal Stock",IF(Table2_1[[#This Row],[Stock levels]]&gt;=21,"Low stocked","Critical Stock")))</f>
        <v>Low stocked</v>
      </c>
      <c r="J52" s="7">
        <v>23</v>
      </c>
      <c r="K52" s="7" t="str">
        <f>IF(Table2_1[[#This Row],[Lead times]]&gt;=20,"High",IF(Table2_1[[#This Row],[Lead times]]&gt;=10,"Medium","Low"))</f>
        <v>High</v>
      </c>
      <c r="L52" s="7">
        <f>IFERROR(Table2_1[[#This Row],[Order quantities]]/Table2_1[[#This Row],[Stock levels]],0)</f>
        <v>2.6451612903225805</v>
      </c>
      <c r="M52" s="7" t="str">
        <f>IF(Table2_1[[#This Row],[Inventory Movement Index]]&gt;=2,"Fast Moving",IF(Table2_1[[#This Row],[Inventory Movement Index]]&gt;=1,"Normal","Slow Moving"))</f>
        <v>Fast Moving</v>
      </c>
      <c r="N52" s="7">
        <v>82</v>
      </c>
      <c r="O52" s="7">
        <v>10</v>
      </c>
      <c r="P52" s="8" t="s">
        <v>36</v>
      </c>
      <c r="Q52" s="9">
        <v>6.2478999999999996</v>
      </c>
      <c r="R52" s="10" t="s">
        <v>61</v>
      </c>
      <c r="S52" s="10" t="s">
        <v>50</v>
      </c>
      <c r="T52" s="11">
        <v>20</v>
      </c>
      <c r="U52" s="11">
        <v>306</v>
      </c>
      <c r="V52" s="11">
        <v>21</v>
      </c>
      <c r="W52" s="12">
        <v>45.178800000000003</v>
      </c>
      <c r="X52" s="13" t="s">
        <v>46</v>
      </c>
      <c r="Y52" s="13">
        <v>4.7548009999999996</v>
      </c>
      <c r="Z52" s="13">
        <v>475.48</v>
      </c>
      <c r="AA52" s="14" t="s">
        <v>47</v>
      </c>
      <c r="AB52" s="14" t="s">
        <v>32</v>
      </c>
      <c r="AC52" s="15">
        <v>496.24860000000001</v>
      </c>
    </row>
    <row r="53" spans="1:29" x14ac:dyDescent="0.35">
      <c r="A53" s="5" t="s">
        <v>155</v>
      </c>
      <c r="B53" s="5" t="s">
        <v>105</v>
      </c>
      <c r="C53" s="6">
        <v>26.700800000000001</v>
      </c>
      <c r="D53" s="5">
        <v>61</v>
      </c>
      <c r="E53" s="5">
        <v>154</v>
      </c>
      <c r="F53" s="6">
        <v>9866.4655000000002</v>
      </c>
      <c r="G53" s="5" t="s">
        <v>55</v>
      </c>
      <c r="H53" s="7">
        <v>100</v>
      </c>
      <c r="I53" s="7" t="str">
        <f>IF(Table2_1[[#This Row],[Stock levels]]&gt;=71,"OverStocked",IF(Table2_1[[#This Row],[Stock levels]]&gt;=51,"Optimal Stock",IF(Table2_1[[#This Row],[Stock levels]]&gt;=21,"Low stocked","Critical Stock")))</f>
        <v>OverStocked</v>
      </c>
      <c r="J53" s="7">
        <v>4</v>
      </c>
      <c r="K53" s="7" t="str">
        <f>IF(Table2_1[[#This Row],[Lead times]]&gt;=20,"High",IF(Table2_1[[#This Row],[Lead times]]&gt;=10,"Medium","Low"))</f>
        <v>Low</v>
      </c>
      <c r="L53" s="7">
        <f>IFERROR(Table2_1[[#This Row],[Order quantities]]/Table2_1[[#This Row],[Stock levels]],0)</f>
        <v>0.52</v>
      </c>
      <c r="M53" s="7" t="str">
        <f>IF(Table2_1[[#This Row],[Inventory Movement Index]]&gt;=2,"Fast Moving",IF(Table2_1[[#This Row],[Inventory Movement Index]]&gt;=1,"Normal","Slow Moving"))</f>
        <v>Slow Moving</v>
      </c>
      <c r="N53" s="7">
        <v>52</v>
      </c>
      <c r="O53" s="7">
        <v>1</v>
      </c>
      <c r="P53" s="8" t="s">
        <v>36</v>
      </c>
      <c r="Q53" s="9">
        <v>4.7830000000000004</v>
      </c>
      <c r="R53" s="10" t="s">
        <v>44</v>
      </c>
      <c r="S53" s="10" t="s">
        <v>53</v>
      </c>
      <c r="T53" s="11">
        <v>18</v>
      </c>
      <c r="U53" s="11">
        <v>673</v>
      </c>
      <c r="V53" s="11">
        <v>28</v>
      </c>
      <c r="W53" s="12">
        <v>14.190300000000001</v>
      </c>
      <c r="X53" s="13" t="s">
        <v>30</v>
      </c>
      <c r="Y53" s="13">
        <v>1.7729509999999999</v>
      </c>
      <c r="Z53" s="13">
        <v>177.3</v>
      </c>
      <c r="AA53" s="14" t="s">
        <v>31</v>
      </c>
      <c r="AB53" s="14" t="s">
        <v>48</v>
      </c>
      <c r="AC53" s="15">
        <v>694.98230000000001</v>
      </c>
    </row>
    <row r="54" spans="1:29" x14ac:dyDescent="0.35">
      <c r="A54" s="5" t="s">
        <v>156</v>
      </c>
      <c r="B54" s="5" t="s">
        <v>106</v>
      </c>
      <c r="C54" s="6">
        <v>98.031800000000004</v>
      </c>
      <c r="D54" s="5">
        <v>1</v>
      </c>
      <c r="E54" s="5">
        <v>820</v>
      </c>
      <c r="F54" s="6">
        <v>9435.7626</v>
      </c>
      <c r="G54" s="5" t="s">
        <v>55</v>
      </c>
      <c r="H54" s="7">
        <v>64</v>
      </c>
      <c r="I54" s="7" t="str">
        <f>IF(Table2_1[[#This Row],[Stock levels]]&gt;=71,"OverStocked",IF(Table2_1[[#This Row],[Stock levels]]&gt;=51,"Optimal Stock",IF(Table2_1[[#This Row],[Stock levels]]&gt;=21,"Low stocked","Critical Stock")))</f>
        <v>Optimal Stock</v>
      </c>
      <c r="J54" s="7">
        <v>11</v>
      </c>
      <c r="K54" s="7" t="str">
        <f>IF(Table2_1[[#This Row],[Lead times]]&gt;=20,"High",IF(Table2_1[[#This Row],[Lead times]]&gt;=10,"Medium","Low"))</f>
        <v>Medium</v>
      </c>
      <c r="L54" s="7">
        <f>IFERROR(Table2_1[[#This Row],[Order quantities]]/Table2_1[[#This Row],[Stock levels]],0)</f>
        <v>0.171875</v>
      </c>
      <c r="M54" s="7" t="str">
        <f>IF(Table2_1[[#This Row],[Inventory Movement Index]]&gt;=2,"Fast Moving",IF(Table2_1[[#This Row],[Inventory Movement Index]]&gt;=1,"Normal","Slow Moving"))</f>
        <v>Slow Moving</v>
      </c>
      <c r="N54" s="7">
        <v>11</v>
      </c>
      <c r="O54" s="7">
        <v>1</v>
      </c>
      <c r="P54" s="8" t="s">
        <v>27</v>
      </c>
      <c r="Q54" s="9">
        <v>8.6311</v>
      </c>
      <c r="R54" s="10" t="s">
        <v>39</v>
      </c>
      <c r="S54" s="10" t="s">
        <v>29</v>
      </c>
      <c r="T54" s="11">
        <v>10</v>
      </c>
      <c r="U54" s="11">
        <v>727</v>
      </c>
      <c r="V54" s="11">
        <v>27</v>
      </c>
      <c r="W54" s="12">
        <v>9.1668000000000003</v>
      </c>
      <c r="X54" s="13" t="s">
        <v>30</v>
      </c>
      <c r="Y54" s="13">
        <v>2.1224720000000001</v>
      </c>
      <c r="Z54" s="13">
        <v>212.25</v>
      </c>
      <c r="AA54" s="14" t="s">
        <v>40</v>
      </c>
      <c r="AB54" s="14" t="s">
        <v>41</v>
      </c>
      <c r="AC54" s="15">
        <v>602.89850000000001</v>
      </c>
    </row>
    <row r="55" spans="1:29" x14ac:dyDescent="0.35">
      <c r="A55" s="5" t="s">
        <v>156</v>
      </c>
      <c r="B55" s="5" t="s">
        <v>107</v>
      </c>
      <c r="C55" s="6">
        <v>30.3415</v>
      </c>
      <c r="D55" s="5">
        <v>93</v>
      </c>
      <c r="E55" s="5">
        <v>242</v>
      </c>
      <c r="F55" s="6">
        <v>8232.3348000000005</v>
      </c>
      <c r="G55" s="5" t="s">
        <v>55</v>
      </c>
      <c r="H55" s="7">
        <v>96</v>
      </c>
      <c r="I55" s="7" t="str">
        <f>IF(Table2_1[[#This Row],[Stock levels]]&gt;=71,"OverStocked",IF(Table2_1[[#This Row],[Stock levels]]&gt;=51,"Optimal Stock",IF(Table2_1[[#This Row],[Stock levels]]&gt;=21,"Low stocked","Critical Stock")))</f>
        <v>OverStocked</v>
      </c>
      <c r="J55" s="7">
        <v>25</v>
      </c>
      <c r="K55" s="7" t="str">
        <f>IF(Table2_1[[#This Row],[Lead times]]&gt;=20,"High",IF(Table2_1[[#This Row],[Lead times]]&gt;=10,"Medium","Low"))</f>
        <v>High</v>
      </c>
      <c r="L55" s="7">
        <f>IFERROR(Table2_1[[#This Row],[Order quantities]]/Table2_1[[#This Row],[Stock levels]],0)</f>
        <v>0.5625</v>
      </c>
      <c r="M55" s="7" t="str">
        <f>IF(Table2_1[[#This Row],[Inventory Movement Index]]&gt;=2,"Fast Moving",IF(Table2_1[[#This Row],[Inventory Movement Index]]&gt;=1,"Normal","Slow Moving"))</f>
        <v>Slow Moving</v>
      </c>
      <c r="N55" s="7">
        <v>54</v>
      </c>
      <c r="O55" s="7">
        <v>3</v>
      </c>
      <c r="P55" s="8" t="s">
        <v>27</v>
      </c>
      <c r="Q55" s="9">
        <v>1.0135000000000001</v>
      </c>
      <c r="R55" s="10" t="s">
        <v>39</v>
      </c>
      <c r="S55" s="10" t="s">
        <v>50</v>
      </c>
      <c r="T55" s="11">
        <v>1</v>
      </c>
      <c r="U55" s="11">
        <v>631</v>
      </c>
      <c r="V55" s="11">
        <v>17</v>
      </c>
      <c r="W55" s="12">
        <v>83.344099999999997</v>
      </c>
      <c r="X55" s="13" t="s">
        <v>30</v>
      </c>
      <c r="Y55" s="13">
        <v>1.4103479999999999</v>
      </c>
      <c r="Z55" s="13">
        <v>141.03</v>
      </c>
      <c r="AA55" s="14" t="s">
        <v>40</v>
      </c>
      <c r="AB55" s="14" t="s">
        <v>32</v>
      </c>
      <c r="AC55" s="15">
        <v>750.73779999999999</v>
      </c>
    </row>
    <row r="56" spans="1:29" x14ac:dyDescent="0.35">
      <c r="A56" s="5" t="s">
        <v>155</v>
      </c>
      <c r="B56" s="5" t="s">
        <v>108</v>
      </c>
      <c r="C56" s="6">
        <v>31.1462</v>
      </c>
      <c r="D56" s="5">
        <v>11</v>
      </c>
      <c r="E56" s="5">
        <v>622</v>
      </c>
      <c r="F56" s="6">
        <v>6088.0214999999998</v>
      </c>
      <c r="G56" s="5" t="s">
        <v>26</v>
      </c>
      <c r="H56" s="7">
        <v>33</v>
      </c>
      <c r="I56" s="7" t="str">
        <f>IF(Table2_1[[#This Row],[Stock levels]]&gt;=71,"OverStocked",IF(Table2_1[[#This Row],[Stock levels]]&gt;=51,"Optimal Stock",IF(Table2_1[[#This Row],[Stock levels]]&gt;=21,"Low stocked","Critical Stock")))</f>
        <v>Low stocked</v>
      </c>
      <c r="J56" s="7">
        <v>22</v>
      </c>
      <c r="K56" s="7" t="str">
        <f>IF(Table2_1[[#This Row],[Lead times]]&gt;=20,"High",IF(Table2_1[[#This Row],[Lead times]]&gt;=10,"Medium","Low"))</f>
        <v>High</v>
      </c>
      <c r="L56" s="7">
        <f>IFERROR(Table2_1[[#This Row],[Order quantities]]/Table2_1[[#This Row],[Stock levels]],0)</f>
        <v>1.8484848484848484</v>
      </c>
      <c r="M56" s="7" t="str">
        <f>IF(Table2_1[[#This Row],[Inventory Movement Index]]&gt;=2,"Fast Moving",IF(Table2_1[[#This Row],[Inventory Movement Index]]&gt;=1,"Normal","Slow Moving"))</f>
        <v>Normal</v>
      </c>
      <c r="N56" s="7">
        <v>61</v>
      </c>
      <c r="O56" s="7">
        <v>3</v>
      </c>
      <c r="P56" s="8" t="s">
        <v>27</v>
      </c>
      <c r="Q56" s="9">
        <v>4.3051000000000004</v>
      </c>
      <c r="R56" s="10" t="s">
        <v>39</v>
      </c>
      <c r="S56" s="10" t="s">
        <v>45</v>
      </c>
      <c r="T56" s="11">
        <v>26</v>
      </c>
      <c r="U56" s="11">
        <v>497</v>
      </c>
      <c r="V56" s="11">
        <v>29</v>
      </c>
      <c r="W56" s="12">
        <v>30.186</v>
      </c>
      <c r="X56" s="13" t="s">
        <v>64</v>
      </c>
      <c r="Y56" s="13">
        <v>2.4787720000000002</v>
      </c>
      <c r="Z56" s="13">
        <v>247.88</v>
      </c>
      <c r="AA56" s="14" t="s">
        <v>31</v>
      </c>
      <c r="AB56" s="14" t="s">
        <v>32</v>
      </c>
      <c r="AC56" s="15">
        <v>814.07</v>
      </c>
    </row>
    <row r="57" spans="1:29" x14ac:dyDescent="0.35">
      <c r="A57" s="5" t="s">
        <v>155</v>
      </c>
      <c r="B57" s="5" t="s">
        <v>109</v>
      </c>
      <c r="C57" s="6">
        <v>79.855099999999993</v>
      </c>
      <c r="D57" s="5">
        <v>16</v>
      </c>
      <c r="E57" s="5">
        <v>701</v>
      </c>
      <c r="F57" s="6">
        <v>2925.6752000000001</v>
      </c>
      <c r="G57" s="5" t="s">
        <v>55</v>
      </c>
      <c r="H57" s="7">
        <v>97</v>
      </c>
      <c r="I57" s="7" t="str">
        <f>IF(Table2_1[[#This Row],[Stock levels]]&gt;=71,"OverStocked",IF(Table2_1[[#This Row],[Stock levels]]&gt;=51,"Optimal Stock",IF(Table2_1[[#This Row],[Stock levels]]&gt;=21,"Low stocked","Critical Stock")))</f>
        <v>OverStocked</v>
      </c>
      <c r="J57" s="7">
        <v>11</v>
      </c>
      <c r="K57" s="7" t="str">
        <f>IF(Table2_1[[#This Row],[Lead times]]&gt;=20,"High",IF(Table2_1[[#This Row],[Lead times]]&gt;=10,"Medium","Low"))</f>
        <v>Medium</v>
      </c>
      <c r="L57" s="7">
        <f>IFERROR(Table2_1[[#This Row],[Order quantities]]/Table2_1[[#This Row],[Stock levels]],0)</f>
        <v>0.1134020618556701</v>
      </c>
      <c r="M57" s="7" t="str">
        <f>IF(Table2_1[[#This Row],[Inventory Movement Index]]&gt;=2,"Fast Moving",IF(Table2_1[[#This Row],[Inventory Movement Index]]&gt;=1,"Normal","Slow Moving"))</f>
        <v>Slow Moving</v>
      </c>
      <c r="N57" s="7">
        <v>11</v>
      </c>
      <c r="O57" s="7">
        <v>5</v>
      </c>
      <c r="P57" s="8" t="s">
        <v>36</v>
      </c>
      <c r="Q57" s="9">
        <v>5.0144000000000002</v>
      </c>
      <c r="R57" s="10" t="s">
        <v>61</v>
      </c>
      <c r="S57" s="10" t="s">
        <v>50</v>
      </c>
      <c r="T57" s="11">
        <v>27</v>
      </c>
      <c r="U57" s="11">
        <v>918</v>
      </c>
      <c r="V57" s="11">
        <v>5</v>
      </c>
      <c r="W57" s="12">
        <v>30.323499999999999</v>
      </c>
      <c r="X57" s="13" t="s">
        <v>46</v>
      </c>
      <c r="Y57" s="13">
        <v>4.5489199999999999</v>
      </c>
      <c r="Z57" s="13">
        <v>454.89</v>
      </c>
      <c r="AA57" s="14" t="s">
        <v>56</v>
      </c>
      <c r="AB57" s="14" t="s">
        <v>32</v>
      </c>
      <c r="AC57" s="15">
        <v>323.0129</v>
      </c>
    </row>
    <row r="58" spans="1:29" x14ac:dyDescent="0.35">
      <c r="A58" s="5" t="s">
        <v>156</v>
      </c>
      <c r="B58" s="5" t="s">
        <v>110</v>
      </c>
      <c r="C58" s="6">
        <v>20.9864</v>
      </c>
      <c r="D58" s="5">
        <v>90</v>
      </c>
      <c r="E58" s="5">
        <v>93</v>
      </c>
      <c r="F58" s="6">
        <v>4767.0204999999996</v>
      </c>
      <c r="G58" s="5" t="s">
        <v>26</v>
      </c>
      <c r="H58" s="7">
        <v>25</v>
      </c>
      <c r="I58" s="7" t="str">
        <f>IF(Table2_1[[#This Row],[Stock levels]]&gt;=71,"OverStocked",IF(Table2_1[[#This Row],[Stock levels]]&gt;=51,"Optimal Stock",IF(Table2_1[[#This Row],[Stock levels]]&gt;=21,"Low stocked","Critical Stock")))</f>
        <v>Low stocked</v>
      </c>
      <c r="J58" s="7">
        <v>23</v>
      </c>
      <c r="K58" s="7" t="str">
        <f>IF(Table2_1[[#This Row],[Lead times]]&gt;=20,"High",IF(Table2_1[[#This Row],[Lead times]]&gt;=10,"Medium","Low"))</f>
        <v>High</v>
      </c>
      <c r="L58" s="7">
        <f>IFERROR(Table2_1[[#This Row],[Order quantities]]/Table2_1[[#This Row],[Stock levels]],0)</f>
        <v>3.32</v>
      </c>
      <c r="M58" s="7" t="str">
        <f>IF(Table2_1[[#This Row],[Inventory Movement Index]]&gt;=2,"Fast Moving",IF(Table2_1[[#This Row],[Inventory Movement Index]]&gt;=1,"Normal","Slow Moving"))</f>
        <v>Fast Moving</v>
      </c>
      <c r="N58" s="7">
        <v>83</v>
      </c>
      <c r="O58" s="7">
        <v>5</v>
      </c>
      <c r="P58" s="8" t="s">
        <v>43</v>
      </c>
      <c r="Q58" s="9">
        <v>1.7744</v>
      </c>
      <c r="R58" s="10" t="s">
        <v>39</v>
      </c>
      <c r="S58" s="10" t="s">
        <v>29</v>
      </c>
      <c r="T58" s="11">
        <v>24</v>
      </c>
      <c r="U58" s="11">
        <v>826</v>
      </c>
      <c r="V58" s="11">
        <v>28</v>
      </c>
      <c r="W58" s="12">
        <v>12.8363</v>
      </c>
      <c r="X58" s="13" t="s">
        <v>64</v>
      </c>
      <c r="Y58" s="13">
        <v>1.1737550000000001</v>
      </c>
      <c r="Z58" s="13">
        <v>117.38</v>
      </c>
      <c r="AA58" s="14" t="s">
        <v>40</v>
      </c>
      <c r="AB58" s="14" t="s">
        <v>32</v>
      </c>
      <c r="AC58" s="15">
        <v>832.21079999999995</v>
      </c>
    </row>
    <row r="59" spans="1:29" x14ac:dyDescent="0.35">
      <c r="A59" s="5" t="s">
        <v>155</v>
      </c>
      <c r="B59" s="5" t="s">
        <v>111</v>
      </c>
      <c r="C59" s="6">
        <v>49.263199999999998</v>
      </c>
      <c r="D59" s="5">
        <v>65</v>
      </c>
      <c r="E59" s="5">
        <v>227</v>
      </c>
      <c r="F59" s="6">
        <v>1605.8669</v>
      </c>
      <c r="G59" s="5" t="s">
        <v>38</v>
      </c>
      <c r="H59" s="7">
        <v>5</v>
      </c>
      <c r="I59" s="7" t="str">
        <f>IF(Table2_1[[#This Row],[Stock levels]]&gt;=71,"OverStocked",IF(Table2_1[[#This Row],[Stock levels]]&gt;=51,"Optimal Stock",IF(Table2_1[[#This Row],[Stock levels]]&gt;=21,"Low stocked","Critical Stock")))</f>
        <v>Critical Stock</v>
      </c>
      <c r="J59" s="7">
        <v>18</v>
      </c>
      <c r="K59" s="7" t="str">
        <f>IF(Table2_1[[#This Row],[Lead times]]&gt;=20,"High",IF(Table2_1[[#This Row],[Lead times]]&gt;=10,"Medium","Low"))</f>
        <v>Medium</v>
      </c>
      <c r="L59" s="7">
        <f>IFERROR(Table2_1[[#This Row],[Order quantities]]/Table2_1[[#This Row],[Stock levels]],0)</f>
        <v>10.199999999999999</v>
      </c>
      <c r="M59" s="7" t="str">
        <f>IF(Table2_1[[#This Row],[Inventory Movement Index]]&gt;=2,"Fast Moving",IF(Table2_1[[#This Row],[Inventory Movement Index]]&gt;=1,"Normal","Slow Moving"))</f>
        <v>Fast Moving</v>
      </c>
      <c r="N59" s="7">
        <v>51</v>
      </c>
      <c r="O59" s="7">
        <v>1</v>
      </c>
      <c r="P59" s="8" t="s">
        <v>27</v>
      </c>
      <c r="Q59" s="9">
        <v>9.1606000000000005</v>
      </c>
      <c r="R59" s="10" t="s">
        <v>61</v>
      </c>
      <c r="S59" s="10" t="s">
        <v>50</v>
      </c>
      <c r="T59" s="11">
        <v>21</v>
      </c>
      <c r="U59" s="11">
        <v>588</v>
      </c>
      <c r="V59" s="11">
        <v>25</v>
      </c>
      <c r="W59" s="12">
        <v>67.779600000000002</v>
      </c>
      <c r="X59" s="13" t="s">
        <v>30</v>
      </c>
      <c r="Y59" s="13">
        <v>2.5111750000000002</v>
      </c>
      <c r="Z59" s="13">
        <v>251.12</v>
      </c>
      <c r="AA59" s="14" t="s">
        <v>47</v>
      </c>
      <c r="AB59" s="14" t="s">
        <v>48</v>
      </c>
      <c r="AC59" s="15">
        <v>482.19119999999998</v>
      </c>
    </row>
    <row r="60" spans="1:29" x14ac:dyDescent="0.35">
      <c r="A60" s="5" t="s">
        <v>156</v>
      </c>
      <c r="B60" s="5" t="s">
        <v>112</v>
      </c>
      <c r="C60" s="6">
        <v>59.8416</v>
      </c>
      <c r="D60" s="5">
        <v>81</v>
      </c>
      <c r="E60" s="5">
        <v>896</v>
      </c>
      <c r="F60" s="6">
        <v>2021.1497999999999</v>
      </c>
      <c r="G60" s="5" t="s">
        <v>26</v>
      </c>
      <c r="H60" s="7">
        <v>10</v>
      </c>
      <c r="I60" s="7" t="str">
        <f>IF(Table2_1[[#This Row],[Stock levels]]&gt;=71,"OverStocked",IF(Table2_1[[#This Row],[Stock levels]]&gt;=51,"Optimal Stock",IF(Table2_1[[#This Row],[Stock levels]]&gt;=21,"Low stocked","Critical Stock")))</f>
        <v>Critical Stock</v>
      </c>
      <c r="J60" s="7">
        <v>5</v>
      </c>
      <c r="K60" s="7" t="str">
        <f>IF(Table2_1[[#This Row],[Lead times]]&gt;=20,"High",IF(Table2_1[[#This Row],[Lead times]]&gt;=10,"Medium","Low"))</f>
        <v>Low</v>
      </c>
      <c r="L60" s="7">
        <f>IFERROR(Table2_1[[#This Row],[Order quantities]]/Table2_1[[#This Row],[Stock levels]],0)</f>
        <v>4.4000000000000004</v>
      </c>
      <c r="M60" s="7" t="str">
        <f>IF(Table2_1[[#This Row],[Inventory Movement Index]]&gt;=2,"Fast Moving",IF(Table2_1[[#This Row],[Inventory Movement Index]]&gt;=1,"Normal","Slow Moving"))</f>
        <v>Fast Moving</v>
      </c>
      <c r="N60" s="7">
        <v>44</v>
      </c>
      <c r="O60" s="7">
        <v>7</v>
      </c>
      <c r="P60" s="8" t="s">
        <v>36</v>
      </c>
      <c r="Q60" s="9">
        <v>4.9383999999999997</v>
      </c>
      <c r="R60" s="10" t="s">
        <v>28</v>
      </c>
      <c r="S60" s="10" t="s">
        <v>50</v>
      </c>
      <c r="T60" s="11">
        <v>18</v>
      </c>
      <c r="U60" s="11">
        <v>396</v>
      </c>
      <c r="V60" s="11">
        <v>7</v>
      </c>
      <c r="W60" s="12">
        <v>65.047399999999996</v>
      </c>
      <c r="X60" s="13" t="s">
        <v>46</v>
      </c>
      <c r="Y60" s="13">
        <v>1.730375</v>
      </c>
      <c r="Z60" s="13">
        <v>173.04</v>
      </c>
      <c r="AA60" s="14" t="s">
        <v>31</v>
      </c>
      <c r="AB60" s="14" t="s">
        <v>32</v>
      </c>
      <c r="AC60" s="15">
        <v>110.3643</v>
      </c>
    </row>
    <row r="61" spans="1:29" x14ac:dyDescent="0.35">
      <c r="A61" s="5" t="s">
        <v>157</v>
      </c>
      <c r="B61" s="5" t="s">
        <v>113</v>
      </c>
      <c r="C61" s="6">
        <v>63.828400000000002</v>
      </c>
      <c r="D61" s="5">
        <v>30</v>
      </c>
      <c r="E61" s="5">
        <v>484</v>
      </c>
      <c r="F61" s="6">
        <v>1061.6185</v>
      </c>
      <c r="G61" s="5" t="s">
        <v>26</v>
      </c>
      <c r="H61" s="7">
        <v>100</v>
      </c>
      <c r="I61" s="7" t="str">
        <f>IF(Table2_1[[#This Row],[Stock levels]]&gt;=71,"OverStocked",IF(Table2_1[[#This Row],[Stock levels]]&gt;=51,"Optimal Stock",IF(Table2_1[[#This Row],[Stock levels]]&gt;=21,"Low stocked","Critical Stock")))</f>
        <v>OverStocked</v>
      </c>
      <c r="J61" s="7">
        <v>16</v>
      </c>
      <c r="K61" s="7" t="str">
        <f>IF(Table2_1[[#This Row],[Lead times]]&gt;=20,"High",IF(Table2_1[[#This Row],[Lead times]]&gt;=10,"Medium","Low"))</f>
        <v>Medium</v>
      </c>
      <c r="L61" s="7">
        <f>IFERROR(Table2_1[[#This Row],[Order quantities]]/Table2_1[[#This Row],[Stock levels]],0)</f>
        <v>0.26</v>
      </c>
      <c r="M61" s="7" t="str">
        <f>IF(Table2_1[[#This Row],[Inventory Movement Index]]&gt;=2,"Fast Moving",IF(Table2_1[[#This Row],[Inventory Movement Index]]&gt;=1,"Normal","Slow Moving"))</f>
        <v>Slow Moving</v>
      </c>
      <c r="N61" s="7">
        <v>26</v>
      </c>
      <c r="O61" s="7">
        <v>7</v>
      </c>
      <c r="P61" s="8" t="s">
        <v>27</v>
      </c>
      <c r="Q61" s="9">
        <v>7.2937000000000003</v>
      </c>
      <c r="R61" s="10" t="s">
        <v>39</v>
      </c>
      <c r="S61" s="10" t="s">
        <v>45</v>
      </c>
      <c r="T61" s="11">
        <v>11</v>
      </c>
      <c r="U61" s="11">
        <v>176</v>
      </c>
      <c r="V61" s="11">
        <v>4</v>
      </c>
      <c r="W61" s="12">
        <v>1.9008</v>
      </c>
      <c r="X61" s="13" t="s">
        <v>46</v>
      </c>
      <c r="Y61" s="13">
        <v>0.44719399999999998</v>
      </c>
      <c r="Z61" s="13">
        <v>44.72</v>
      </c>
      <c r="AA61" s="14" t="s">
        <v>40</v>
      </c>
      <c r="AB61" s="14" t="s">
        <v>48</v>
      </c>
      <c r="AC61" s="15">
        <v>312.57429999999999</v>
      </c>
    </row>
    <row r="62" spans="1:29" x14ac:dyDescent="0.35">
      <c r="A62" s="5" t="s">
        <v>156</v>
      </c>
      <c r="B62" s="5" t="s">
        <v>114</v>
      </c>
      <c r="C62" s="6">
        <v>17.027999999999999</v>
      </c>
      <c r="D62" s="5">
        <v>16</v>
      </c>
      <c r="E62" s="5">
        <v>380</v>
      </c>
      <c r="F62" s="6">
        <v>8864.0843999999997</v>
      </c>
      <c r="G62" s="5" t="s">
        <v>35</v>
      </c>
      <c r="H62" s="7">
        <v>41</v>
      </c>
      <c r="I62" s="7" t="str">
        <f>IF(Table2_1[[#This Row],[Stock levels]]&gt;=71,"OverStocked",IF(Table2_1[[#This Row],[Stock levels]]&gt;=51,"Optimal Stock",IF(Table2_1[[#This Row],[Stock levels]]&gt;=21,"Low stocked","Critical Stock")))</f>
        <v>Low stocked</v>
      </c>
      <c r="J62" s="7">
        <v>27</v>
      </c>
      <c r="K62" s="7" t="str">
        <f>IF(Table2_1[[#This Row],[Lead times]]&gt;=20,"High",IF(Table2_1[[#This Row],[Lead times]]&gt;=10,"Medium","Low"))</f>
        <v>High</v>
      </c>
      <c r="L62" s="7">
        <f>IFERROR(Table2_1[[#This Row],[Order quantities]]/Table2_1[[#This Row],[Stock levels]],0)</f>
        <v>1.7560975609756098</v>
      </c>
      <c r="M62" s="7" t="str">
        <f>IF(Table2_1[[#This Row],[Inventory Movement Index]]&gt;=2,"Fast Moving",IF(Table2_1[[#This Row],[Inventory Movement Index]]&gt;=1,"Normal","Slow Moving"))</f>
        <v>Normal</v>
      </c>
      <c r="N62" s="7">
        <v>72</v>
      </c>
      <c r="O62" s="7">
        <v>8</v>
      </c>
      <c r="P62" s="8" t="s">
        <v>43</v>
      </c>
      <c r="Q62" s="9">
        <v>4.3814000000000002</v>
      </c>
      <c r="R62" s="10" t="s">
        <v>52</v>
      </c>
      <c r="S62" s="10" t="s">
        <v>29</v>
      </c>
      <c r="T62" s="11">
        <v>29</v>
      </c>
      <c r="U62" s="11">
        <v>929</v>
      </c>
      <c r="V62" s="11">
        <v>24</v>
      </c>
      <c r="W62" s="12">
        <v>87.213099999999997</v>
      </c>
      <c r="X62" s="13" t="s">
        <v>46</v>
      </c>
      <c r="Y62" s="13">
        <v>2.853091</v>
      </c>
      <c r="Z62" s="13">
        <v>285.31</v>
      </c>
      <c r="AA62" s="14" t="s">
        <v>47</v>
      </c>
      <c r="AB62" s="14" t="s">
        <v>48</v>
      </c>
      <c r="AC62" s="15">
        <v>430.16910000000001</v>
      </c>
    </row>
    <row r="63" spans="1:29" x14ac:dyDescent="0.35">
      <c r="A63" s="5" t="s">
        <v>155</v>
      </c>
      <c r="B63" s="5" t="s">
        <v>115</v>
      </c>
      <c r="C63" s="6">
        <v>52.028799999999997</v>
      </c>
      <c r="D63" s="5">
        <v>23</v>
      </c>
      <c r="E63" s="5">
        <v>117</v>
      </c>
      <c r="F63" s="6">
        <v>6885.5893999999998</v>
      </c>
      <c r="G63" s="5" t="s">
        <v>38</v>
      </c>
      <c r="H63" s="7">
        <v>32</v>
      </c>
      <c r="I63" s="7" t="str">
        <f>IF(Table2_1[[#This Row],[Stock levels]]&gt;=71,"OverStocked",IF(Table2_1[[#This Row],[Stock levels]]&gt;=51,"Optimal Stock",IF(Table2_1[[#This Row],[Stock levels]]&gt;=21,"Low stocked","Critical Stock")))</f>
        <v>Low stocked</v>
      </c>
      <c r="J63" s="7">
        <v>23</v>
      </c>
      <c r="K63" s="7" t="str">
        <f>IF(Table2_1[[#This Row],[Lead times]]&gt;=20,"High",IF(Table2_1[[#This Row],[Lead times]]&gt;=10,"Medium","Low"))</f>
        <v>High</v>
      </c>
      <c r="L63" s="7">
        <f>IFERROR(Table2_1[[#This Row],[Order quantities]]/Table2_1[[#This Row],[Stock levels]],0)</f>
        <v>1.125</v>
      </c>
      <c r="M63" s="7" t="str">
        <f>IF(Table2_1[[#This Row],[Inventory Movement Index]]&gt;=2,"Fast Moving",IF(Table2_1[[#This Row],[Inventory Movement Index]]&gt;=1,"Normal","Slow Moving"))</f>
        <v>Normal</v>
      </c>
      <c r="N63" s="7">
        <v>36</v>
      </c>
      <c r="O63" s="7">
        <v>7</v>
      </c>
      <c r="P63" s="8" t="s">
        <v>43</v>
      </c>
      <c r="Q63" s="9">
        <v>9.0303000000000004</v>
      </c>
      <c r="R63" s="10" t="s">
        <v>52</v>
      </c>
      <c r="S63" s="10" t="s">
        <v>45</v>
      </c>
      <c r="T63" s="11">
        <v>14</v>
      </c>
      <c r="U63" s="11">
        <v>480</v>
      </c>
      <c r="V63" s="11">
        <v>12</v>
      </c>
      <c r="W63" s="12">
        <v>78.702399999999997</v>
      </c>
      <c r="X63" s="13" t="s">
        <v>46</v>
      </c>
      <c r="Y63" s="13">
        <v>4.3674710000000001</v>
      </c>
      <c r="Z63" s="13">
        <v>436.75</v>
      </c>
      <c r="AA63" s="14" t="s">
        <v>40</v>
      </c>
      <c r="AB63" s="14" t="s">
        <v>48</v>
      </c>
      <c r="AC63" s="15">
        <v>164.3665</v>
      </c>
    </row>
    <row r="64" spans="1:29" x14ac:dyDescent="0.35">
      <c r="A64" s="5" t="s">
        <v>157</v>
      </c>
      <c r="B64" s="5" t="s">
        <v>116</v>
      </c>
      <c r="C64" s="6">
        <v>72.796400000000006</v>
      </c>
      <c r="D64" s="5">
        <v>89</v>
      </c>
      <c r="E64" s="5">
        <v>270</v>
      </c>
      <c r="F64" s="6">
        <v>3899.7467999999999</v>
      </c>
      <c r="G64" s="5" t="s">
        <v>38</v>
      </c>
      <c r="H64" s="7">
        <v>86</v>
      </c>
      <c r="I64" s="7" t="str">
        <f>IF(Table2_1[[#This Row],[Stock levels]]&gt;=71,"OverStocked",IF(Table2_1[[#This Row],[Stock levels]]&gt;=51,"Optimal Stock",IF(Table2_1[[#This Row],[Stock levels]]&gt;=21,"Low stocked","Critical Stock")))</f>
        <v>OverStocked</v>
      </c>
      <c r="J64" s="7">
        <v>2</v>
      </c>
      <c r="K64" s="7" t="str">
        <f>IF(Table2_1[[#This Row],[Lead times]]&gt;=20,"High",IF(Table2_1[[#This Row],[Lead times]]&gt;=10,"Medium","Low"))</f>
        <v>Low</v>
      </c>
      <c r="L64" s="7">
        <f>IFERROR(Table2_1[[#This Row],[Order quantities]]/Table2_1[[#This Row],[Stock levels]],0)</f>
        <v>0.46511627906976744</v>
      </c>
      <c r="M64" s="7" t="str">
        <f>IF(Table2_1[[#This Row],[Inventory Movement Index]]&gt;=2,"Fast Moving",IF(Table2_1[[#This Row],[Inventory Movement Index]]&gt;=1,"Normal","Slow Moving"))</f>
        <v>Slow Moving</v>
      </c>
      <c r="N64" s="7">
        <v>40</v>
      </c>
      <c r="O64" s="7">
        <v>7</v>
      </c>
      <c r="P64" s="8" t="s">
        <v>43</v>
      </c>
      <c r="Q64" s="9">
        <v>7.2916999999999996</v>
      </c>
      <c r="R64" s="10" t="s">
        <v>61</v>
      </c>
      <c r="S64" s="10" t="s">
        <v>29</v>
      </c>
      <c r="T64" s="11">
        <v>13</v>
      </c>
      <c r="U64" s="11">
        <v>751</v>
      </c>
      <c r="V64" s="11">
        <v>14</v>
      </c>
      <c r="W64" s="12">
        <v>21.0486</v>
      </c>
      <c r="X64" s="13" t="s">
        <v>64</v>
      </c>
      <c r="Y64" s="13">
        <v>1.874001</v>
      </c>
      <c r="Z64" s="13">
        <v>187.4</v>
      </c>
      <c r="AA64" s="14" t="s">
        <v>56</v>
      </c>
      <c r="AB64" s="14" t="s">
        <v>41</v>
      </c>
      <c r="AC64" s="15">
        <v>320.84649999999999</v>
      </c>
    </row>
    <row r="65" spans="1:29" x14ac:dyDescent="0.35">
      <c r="A65" s="5" t="s">
        <v>156</v>
      </c>
      <c r="B65" s="5" t="s">
        <v>117</v>
      </c>
      <c r="C65" s="6">
        <v>13.0174</v>
      </c>
      <c r="D65" s="5">
        <v>55</v>
      </c>
      <c r="E65" s="5">
        <v>246</v>
      </c>
      <c r="F65" s="6">
        <v>4256.9490999999998</v>
      </c>
      <c r="G65" s="5" t="s">
        <v>26</v>
      </c>
      <c r="H65" s="7">
        <v>54</v>
      </c>
      <c r="I65" s="7" t="str">
        <f>IF(Table2_1[[#This Row],[Stock levels]]&gt;=71,"OverStocked",IF(Table2_1[[#This Row],[Stock levels]]&gt;=51,"Optimal Stock",IF(Table2_1[[#This Row],[Stock levels]]&gt;=21,"Low stocked","Critical Stock")))</f>
        <v>Optimal Stock</v>
      </c>
      <c r="J65" s="7">
        <v>19</v>
      </c>
      <c r="K65" s="7" t="str">
        <f>IF(Table2_1[[#This Row],[Lead times]]&gt;=20,"High",IF(Table2_1[[#This Row],[Lead times]]&gt;=10,"Medium","Low"))</f>
        <v>Medium</v>
      </c>
      <c r="L65" s="7">
        <f>IFERROR(Table2_1[[#This Row],[Order quantities]]/Table2_1[[#This Row],[Stock levels]],0)</f>
        <v>0.18518518518518517</v>
      </c>
      <c r="M65" s="7" t="str">
        <f>IF(Table2_1[[#This Row],[Inventory Movement Index]]&gt;=2,"Fast Moving",IF(Table2_1[[#This Row],[Inventory Movement Index]]&gt;=1,"Normal","Slow Moving"))</f>
        <v>Slow Moving</v>
      </c>
      <c r="N65" s="7">
        <v>10</v>
      </c>
      <c r="O65" s="7">
        <v>4</v>
      </c>
      <c r="P65" s="8" t="s">
        <v>36</v>
      </c>
      <c r="Q65" s="9">
        <v>2.4579</v>
      </c>
      <c r="R65" s="10" t="s">
        <v>28</v>
      </c>
      <c r="S65" s="10" t="s">
        <v>53</v>
      </c>
      <c r="T65" s="11">
        <v>18</v>
      </c>
      <c r="U65" s="11">
        <v>736</v>
      </c>
      <c r="V65" s="11">
        <v>10</v>
      </c>
      <c r="W65" s="12">
        <v>20.074999999999999</v>
      </c>
      <c r="X65" s="13" t="s">
        <v>30</v>
      </c>
      <c r="Y65" s="13">
        <v>3.6328429999999998</v>
      </c>
      <c r="Z65" s="13">
        <v>363.28</v>
      </c>
      <c r="AA65" s="14" t="s">
        <v>56</v>
      </c>
      <c r="AB65" s="14" t="s">
        <v>48</v>
      </c>
      <c r="AC65" s="15">
        <v>687.28620000000001</v>
      </c>
    </row>
    <row r="66" spans="1:29" x14ac:dyDescent="0.35">
      <c r="A66" s="5" t="s">
        <v>156</v>
      </c>
      <c r="B66" s="5" t="s">
        <v>118</v>
      </c>
      <c r="C66" s="6">
        <v>89.634100000000004</v>
      </c>
      <c r="D66" s="5">
        <v>11</v>
      </c>
      <c r="E66" s="5">
        <v>134</v>
      </c>
      <c r="F66" s="6">
        <v>8458.7309000000005</v>
      </c>
      <c r="G66" s="5" t="s">
        <v>35</v>
      </c>
      <c r="H66" s="7">
        <v>73</v>
      </c>
      <c r="I66" s="7" t="str">
        <f>IF(Table2_1[[#This Row],[Stock levels]]&gt;=71,"OverStocked",IF(Table2_1[[#This Row],[Stock levels]]&gt;=51,"Optimal Stock",IF(Table2_1[[#This Row],[Stock levels]]&gt;=21,"Low stocked","Critical Stock")))</f>
        <v>OverStocked</v>
      </c>
      <c r="J66" s="7">
        <v>27</v>
      </c>
      <c r="K66" s="7" t="str">
        <f>IF(Table2_1[[#This Row],[Lead times]]&gt;=20,"High",IF(Table2_1[[#This Row],[Lead times]]&gt;=10,"Medium","Low"))</f>
        <v>High</v>
      </c>
      <c r="L66" s="7">
        <f>IFERROR(Table2_1[[#This Row],[Order quantities]]/Table2_1[[#This Row],[Stock levels]],0)</f>
        <v>1.0273972602739727</v>
      </c>
      <c r="M66" s="7" t="str">
        <f>IF(Table2_1[[#This Row],[Inventory Movement Index]]&gt;=2,"Fast Moving",IF(Table2_1[[#This Row],[Inventory Movement Index]]&gt;=1,"Normal","Slow Moving"))</f>
        <v>Normal</v>
      </c>
      <c r="N66" s="7">
        <v>75</v>
      </c>
      <c r="O66" s="7">
        <v>6</v>
      </c>
      <c r="P66" s="8" t="s">
        <v>43</v>
      </c>
      <c r="Q66" s="9">
        <v>4.5853999999999999</v>
      </c>
      <c r="R66" s="10" t="s">
        <v>39</v>
      </c>
      <c r="S66" s="10" t="s">
        <v>50</v>
      </c>
      <c r="T66" s="11">
        <v>17</v>
      </c>
      <c r="U66" s="11">
        <v>328</v>
      </c>
      <c r="V66" s="11">
        <v>6</v>
      </c>
      <c r="W66" s="12">
        <v>8.6929999999999996</v>
      </c>
      <c r="X66" s="13" t="s">
        <v>46</v>
      </c>
      <c r="Y66" s="13">
        <v>0.15948599999999999</v>
      </c>
      <c r="Z66" s="13">
        <v>15.95</v>
      </c>
      <c r="AA66" s="14" t="s">
        <v>40</v>
      </c>
      <c r="AB66" s="14" t="s">
        <v>41</v>
      </c>
      <c r="AC66" s="15">
        <v>771.2251</v>
      </c>
    </row>
    <row r="67" spans="1:29" x14ac:dyDescent="0.35">
      <c r="A67" s="5" t="s">
        <v>156</v>
      </c>
      <c r="B67" s="5" t="s">
        <v>119</v>
      </c>
      <c r="C67" s="6">
        <v>33.697699999999998</v>
      </c>
      <c r="D67" s="5">
        <v>72</v>
      </c>
      <c r="E67" s="5">
        <v>457</v>
      </c>
      <c r="F67" s="6">
        <v>8354.5797000000002</v>
      </c>
      <c r="G67" s="5" t="s">
        <v>55</v>
      </c>
      <c r="H67" s="7">
        <v>57</v>
      </c>
      <c r="I67" s="7" t="str">
        <f>IF(Table2_1[[#This Row],[Stock levels]]&gt;=71,"OverStocked",IF(Table2_1[[#This Row],[Stock levels]]&gt;=51,"Optimal Stock",IF(Table2_1[[#This Row],[Stock levels]]&gt;=21,"Low stocked","Critical Stock")))</f>
        <v>Optimal Stock</v>
      </c>
      <c r="J67" s="7">
        <v>24</v>
      </c>
      <c r="K67" s="7" t="str">
        <f>IF(Table2_1[[#This Row],[Lead times]]&gt;=20,"High",IF(Table2_1[[#This Row],[Lead times]]&gt;=10,"Medium","Low"))</f>
        <v>High</v>
      </c>
      <c r="L67" s="7">
        <f>IFERROR(Table2_1[[#This Row],[Order quantities]]/Table2_1[[#This Row],[Stock levels]],0)</f>
        <v>0.94736842105263153</v>
      </c>
      <c r="M67" s="7" t="str">
        <f>IF(Table2_1[[#This Row],[Inventory Movement Index]]&gt;=2,"Fast Moving",IF(Table2_1[[#This Row],[Inventory Movement Index]]&gt;=1,"Normal","Slow Moving"))</f>
        <v>Slow Moving</v>
      </c>
      <c r="N67" s="7">
        <v>54</v>
      </c>
      <c r="O67" s="7">
        <v>8</v>
      </c>
      <c r="P67" s="8" t="s">
        <v>43</v>
      </c>
      <c r="Q67" s="9">
        <v>6.5804999999999998</v>
      </c>
      <c r="R67" s="10" t="s">
        <v>44</v>
      </c>
      <c r="S67" s="10" t="s">
        <v>45</v>
      </c>
      <c r="T67" s="11">
        <v>16</v>
      </c>
      <c r="U67" s="11">
        <v>358</v>
      </c>
      <c r="V67" s="11">
        <v>21</v>
      </c>
      <c r="W67" s="12">
        <v>1.5972</v>
      </c>
      <c r="X67" s="13" t="s">
        <v>46</v>
      </c>
      <c r="Y67" s="13">
        <v>4.9110959999999997</v>
      </c>
      <c r="Z67" s="13">
        <v>491.11</v>
      </c>
      <c r="AA67" s="14" t="s">
        <v>47</v>
      </c>
      <c r="AB67" s="14" t="s">
        <v>41</v>
      </c>
      <c r="AC67" s="15">
        <v>555.85910000000001</v>
      </c>
    </row>
    <row r="68" spans="1:29" x14ac:dyDescent="0.35">
      <c r="A68" s="5" t="s">
        <v>156</v>
      </c>
      <c r="B68" s="5" t="s">
        <v>120</v>
      </c>
      <c r="C68" s="6">
        <v>26.0349</v>
      </c>
      <c r="D68" s="5">
        <v>52</v>
      </c>
      <c r="E68" s="5">
        <v>704</v>
      </c>
      <c r="F68" s="6">
        <v>8367.7216000000008</v>
      </c>
      <c r="G68" s="5" t="s">
        <v>35</v>
      </c>
      <c r="H68" s="7">
        <v>13</v>
      </c>
      <c r="I68" s="7" t="str">
        <f>IF(Table2_1[[#This Row],[Stock levels]]&gt;=71,"OverStocked",IF(Table2_1[[#This Row],[Stock levels]]&gt;=51,"Optimal Stock",IF(Table2_1[[#This Row],[Stock levels]]&gt;=21,"Low stocked","Critical Stock")))</f>
        <v>Critical Stock</v>
      </c>
      <c r="J68" s="7">
        <v>17</v>
      </c>
      <c r="K68" s="7" t="str">
        <f>IF(Table2_1[[#This Row],[Lead times]]&gt;=20,"High",IF(Table2_1[[#This Row],[Lead times]]&gt;=10,"Medium","Low"))</f>
        <v>Medium</v>
      </c>
      <c r="L68" s="7">
        <f>IFERROR(Table2_1[[#This Row],[Order quantities]]/Table2_1[[#This Row],[Stock levels]],0)</f>
        <v>1.4615384615384615</v>
      </c>
      <c r="M68" s="7" t="str">
        <f>IF(Table2_1[[#This Row],[Inventory Movement Index]]&gt;=2,"Fast Moving",IF(Table2_1[[#This Row],[Inventory Movement Index]]&gt;=1,"Normal","Slow Moving"))</f>
        <v>Normal</v>
      </c>
      <c r="N68" s="7">
        <v>19</v>
      </c>
      <c r="O68" s="7">
        <v>8</v>
      </c>
      <c r="P68" s="8" t="s">
        <v>36</v>
      </c>
      <c r="Q68" s="9">
        <v>2.2161</v>
      </c>
      <c r="R68" s="10" t="s">
        <v>44</v>
      </c>
      <c r="S68" s="10" t="s">
        <v>45</v>
      </c>
      <c r="T68" s="11">
        <v>24</v>
      </c>
      <c r="U68" s="11">
        <v>867</v>
      </c>
      <c r="V68" s="11">
        <v>28</v>
      </c>
      <c r="W68" s="12">
        <v>42.084400000000002</v>
      </c>
      <c r="X68" s="13" t="s">
        <v>46</v>
      </c>
      <c r="Y68" s="13">
        <v>3.4480629999999999</v>
      </c>
      <c r="Z68" s="13">
        <v>344.81</v>
      </c>
      <c r="AA68" s="14" t="s">
        <v>31</v>
      </c>
      <c r="AB68" s="14" t="s">
        <v>48</v>
      </c>
      <c r="AC68" s="15">
        <v>393.8433</v>
      </c>
    </row>
    <row r="69" spans="1:29" x14ac:dyDescent="0.35">
      <c r="A69" s="5" t="s">
        <v>156</v>
      </c>
      <c r="B69" s="5" t="s">
        <v>121</v>
      </c>
      <c r="C69" s="6">
        <v>87.755399999999995</v>
      </c>
      <c r="D69" s="5">
        <v>16</v>
      </c>
      <c r="E69" s="5">
        <v>513</v>
      </c>
      <c r="F69" s="6">
        <v>9473.7980000000007</v>
      </c>
      <c r="G69" s="5" t="s">
        <v>38</v>
      </c>
      <c r="H69" s="7">
        <v>12</v>
      </c>
      <c r="I69" s="7" t="str">
        <f>IF(Table2_1[[#This Row],[Stock levels]]&gt;=71,"OverStocked",IF(Table2_1[[#This Row],[Stock levels]]&gt;=51,"Optimal Stock",IF(Table2_1[[#This Row],[Stock levels]]&gt;=21,"Low stocked","Critical Stock")))</f>
        <v>Critical Stock</v>
      </c>
      <c r="J69" s="7">
        <v>9</v>
      </c>
      <c r="K69" s="7" t="str">
        <f>IF(Table2_1[[#This Row],[Lead times]]&gt;=20,"High",IF(Table2_1[[#This Row],[Lead times]]&gt;=10,"Medium","Low"))</f>
        <v>Low</v>
      </c>
      <c r="L69" s="7">
        <f>IFERROR(Table2_1[[#This Row],[Order quantities]]/Table2_1[[#This Row],[Stock levels]],0)</f>
        <v>5.916666666666667</v>
      </c>
      <c r="M69" s="7" t="str">
        <f>IF(Table2_1[[#This Row],[Inventory Movement Index]]&gt;=2,"Fast Moving",IF(Table2_1[[#This Row],[Inventory Movement Index]]&gt;=1,"Normal","Slow Moving"))</f>
        <v>Fast Moving</v>
      </c>
      <c r="N69" s="7">
        <v>71</v>
      </c>
      <c r="O69" s="7">
        <v>9</v>
      </c>
      <c r="P69" s="8" t="s">
        <v>43</v>
      </c>
      <c r="Q69" s="9">
        <v>9.1478000000000002</v>
      </c>
      <c r="R69" s="10" t="s">
        <v>39</v>
      </c>
      <c r="S69" s="10" t="s">
        <v>29</v>
      </c>
      <c r="T69" s="11">
        <v>10</v>
      </c>
      <c r="U69" s="11">
        <v>198</v>
      </c>
      <c r="V69" s="11">
        <v>11</v>
      </c>
      <c r="W69" s="12">
        <v>7.0579000000000001</v>
      </c>
      <c r="X69" s="13" t="s">
        <v>64</v>
      </c>
      <c r="Y69" s="13">
        <v>0.13195499999999999</v>
      </c>
      <c r="Z69" s="13">
        <v>13.2</v>
      </c>
      <c r="AA69" s="14" t="s">
        <v>56</v>
      </c>
      <c r="AB69" s="14" t="s">
        <v>41</v>
      </c>
      <c r="AC69" s="15">
        <v>169.27180000000001</v>
      </c>
    </row>
    <row r="70" spans="1:29" x14ac:dyDescent="0.35">
      <c r="A70" s="5" t="s">
        <v>155</v>
      </c>
      <c r="B70" s="5" t="s">
        <v>122</v>
      </c>
      <c r="C70" s="6">
        <v>37.931800000000003</v>
      </c>
      <c r="D70" s="5">
        <v>29</v>
      </c>
      <c r="E70" s="5">
        <v>163</v>
      </c>
      <c r="F70" s="6">
        <v>3550.2184000000002</v>
      </c>
      <c r="G70" s="5" t="s">
        <v>26</v>
      </c>
      <c r="H70" s="7">
        <v>0</v>
      </c>
      <c r="I70" s="7" t="str">
        <f>IF(Table2_1[[#This Row],[Stock levels]]&gt;=71,"OverStocked",IF(Table2_1[[#This Row],[Stock levels]]&gt;=51,"Optimal Stock",IF(Table2_1[[#This Row],[Stock levels]]&gt;=21,"Low stocked","Critical Stock")))</f>
        <v>Critical Stock</v>
      </c>
      <c r="J70" s="7">
        <v>8</v>
      </c>
      <c r="K70" s="7" t="str">
        <f>IF(Table2_1[[#This Row],[Lead times]]&gt;=20,"High",IF(Table2_1[[#This Row],[Lead times]]&gt;=10,"Medium","Low"))</f>
        <v>Low</v>
      </c>
      <c r="L70" s="7">
        <f>IFERROR(Table2_1[[#This Row],[Order quantities]]/Table2_1[[#This Row],[Stock levels]],0)</f>
        <v>0</v>
      </c>
      <c r="M70" s="7" t="str">
        <f>IF(Table2_1[[#This Row],[Inventory Movement Index]]&gt;=2,"Fast Moving",IF(Table2_1[[#This Row],[Inventory Movement Index]]&gt;=1,"Normal","Slow Moving"))</f>
        <v>Slow Moving</v>
      </c>
      <c r="N70" s="7">
        <v>58</v>
      </c>
      <c r="O70" s="7">
        <v>8</v>
      </c>
      <c r="P70" s="8" t="s">
        <v>27</v>
      </c>
      <c r="Q70" s="9">
        <v>1.1942999999999999</v>
      </c>
      <c r="R70" s="10" t="s">
        <v>61</v>
      </c>
      <c r="S70" s="10" t="s">
        <v>53</v>
      </c>
      <c r="T70" s="11">
        <v>2</v>
      </c>
      <c r="U70" s="11">
        <v>375</v>
      </c>
      <c r="V70" s="11">
        <v>18</v>
      </c>
      <c r="W70" s="12">
        <v>97.113600000000005</v>
      </c>
      <c r="X70" s="13" t="s">
        <v>46</v>
      </c>
      <c r="Y70" s="13">
        <v>1.983468</v>
      </c>
      <c r="Z70" s="13">
        <v>198.35</v>
      </c>
      <c r="AA70" s="14" t="s">
        <v>47</v>
      </c>
      <c r="AB70" s="14" t="s">
        <v>48</v>
      </c>
      <c r="AC70" s="15">
        <v>299.7063</v>
      </c>
    </row>
    <row r="71" spans="1:29" x14ac:dyDescent="0.35">
      <c r="A71" s="5" t="s">
        <v>156</v>
      </c>
      <c r="B71" s="5" t="s">
        <v>123</v>
      </c>
      <c r="C71" s="6">
        <v>54.865499999999997</v>
      </c>
      <c r="D71" s="5">
        <v>62</v>
      </c>
      <c r="E71" s="5">
        <v>511</v>
      </c>
      <c r="F71" s="6">
        <v>1752.3811000000001</v>
      </c>
      <c r="G71" s="5" t="s">
        <v>26</v>
      </c>
      <c r="H71" s="7">
        <v>95</v>
      </c>
      <c r="I71" s="7" t="str">
        <f>IF(Table2_1[[#This Row],[Stock levels]]&gt;=71,"OverStocked",IF(Table2_1[[#This Row],[Stock levels]]&gt;=51,"Optimal Stock",IF(Table2_1[[#This Row],[Stock levels]]&gt;=21,"Low stocked","Critical Stock")))</f>
        <v>OverStocked</v>
      </c>
      <c r="J71" s="7">
        <v>1</v>
      </c>
      <c r="K71" s="7" t="str">
        <f>IF(Table2_1[[#This Row],[Lead times]]&gt;=20,"High",IF(Table2_1[[#This Row],[Lead times]]&gt;=10,"Medium","Low"))</f>
        <v>Low</v>
      </c>
      <c r="L71" s="7">
        <f>IFERROR(Table2_1[[#This Row],[Order quantities]]/Table2_1[[#This Row],[Stock levels]],0)</f>
        <v>0.28421052631578947</v>
      </c>
      <c r="M71" s="7" t="str">
        <f>IF(Table2_1[[#This Row],[Inventory Movement Index]]&gt;=2,"Fast Moving",IF(Table2_1[[#This Row],[Inventory Movement Index]]&gt;=1,"Normal","Slow Moving"))</f>
        <v>Slow Moving</v>
      </c>
      <c r="N71" s="7">
        <v>27</v>
      </c>
      <c r="O71" s="7">
        <v>3</v>
      </c>
      <c r="P71" s="8" t="s">
        <v>27</v>
      </c>
      <c r="Q71" s="9">
        <v>9.7052999999999994</v>
      </c>
      <c r="R71" s="10" t="s">
        <v>52</v>
      </c>
      <c r="S71" s="10" t="s">
        <v>45</v>
      </c>
      <c r="T71" s="11">
        <v>9</v>
      </c>
      <c r="U71" s="11">
        <v>862</v>
      </c>
      <c r="V71" s="11">
        <v>7</v>
      </c>
      <c r="W71" s="12">
        <v>77.627799999999993</v>
      </c>
      <c r="X71" s="13" t="s">
        <v>30</v>
      </c>
      <c r="Y71" s="13">
        <v>1.3623879999999999</v>
      </c>
      <c r="Z71" s="13">
        <v>136.24</v>
      </c>
      <c r="AA71" s="14" t="s">
        <v>40</v>
      </c>
      <c r="AB71" s="14" t="s">
        <v>48</v>
      </c>
      <c r="AC71" s="15">
        <v>207.66319999999999</v>
      </c>
    </row>
    <row r="72" spans="1:29" x14ac:dyDescent="0.35">
      <c r="A72" s="5" t="s">
        <v>155</v>
      </c>
      <c r="B72" s="5" t="s">
        <v>124</v>
      </c>
      <c r="C72" s="6">
        <v>47.914499999999997</v>
      </c>
      <c r="D72" s="5">
        <v>90</v>
      </c>
      <c r="E72" s="5">
        <v>32</v>
      </c>
      <c r="F72" s="6">
        <v>7014.8879999999999</v>
      </c>
      <c r="G72" s="5" t="s">
        <v>35</v>
      </c>
      <c r="H72" s="7">
        <v>10</v>
      </c>
      <c r="I72" s="7" t="str">
        <f>IF(Table2_1[[#This Row],[Stock levels]]&gt;=71,"OverStocked",IF(Table2_1[[#This Row],[Stock levels]]&gt;=51,"Optimal Stock",IF(Table2_1[[#This Row],[Stock levels]]&gt;=21,"Low stocked","Critical Stock")))</f>
        <v>Critical Stock</v>
      </c>
      <c r="J72" s="7">
        <v>12</v>
      </c>
      <c r="K72" s="7" t="str">
        <f>IF(Table2_1[[#This Row],[Lead times]]&gt;=20,"High",IF(Table2_1[[#This Row],[Lead times]]&gt;=10,"Medium","Low"))</f>
        <v>Medium</v>
      </c>
      <c r="L72" s="7">
        <f>IFERROR(Table2_1[[#This Row],[Order quantities]]/Table2_1[[#This Row],[Stock levels]],0)</f>
        <v>2.2000000000000002</v>
      </c>
      <c r="M72" s="7" t="str">
        <f>IF(Table2_1[[#This Row],[Inventory Movement Index]]&gt;=2,"Fast Moving",IF(Table2_1[[#This Row],[Inventory Movement Index]]&gt;=1,"Normal","Slow Moving"))</f>
        <v>Fast Moving</v>
      </c>
      <c r="N72" s="7">
        <v>22</v>
      </c>
      <c r="O72" s="7">
        <v>4</v>
      </c>
      <c r="P72" s="8" t="s">
        <v>27</v>
      </c>
      <c r="Q72" s="9">
        <v>6.3156999999999996</v>
      </c>
      <c r="R72" s="10" t="s">
        <v>39</v>
      </c>
      <c r="S72" s="10" t="s">
        <v>53</v>
      </c>
      <c r="T72" s="11">
        <v>22</v>
      </c>
      <c r="U72" s="11">
        <v>775</v>
      </c>
      <c r="V72" s="11">
        <v>16</v>
      </c>
      <c r="W72" s="12">
        <v>11.440799999999999</v>
      </c>
      <c r="X72" s="13" t="s">
        <v>64</v>
      </c>
      <c r="Y72" s="13">
        <v>1.830576</v>
      </c>
      <c r="Z72" s="13">
        <v>183.06</v>
      </c>
      <c r="AA72" s="14" t="s">
        <v>31</v>
      </c>
      <c r="AB72" s="14" t="s">
        <v>41</v>
      </c>
      <c r="AC72" s="15">
        <v>183.27289999999999</v>
      </c>
    </row>
    <row r="73" spans="1:29" x14ac:dyDescent="0.35">
      <c r="A73" s="5" t="s">
        <v>157</v>
      </c>
      <c r="B73" s="5" t="s">
        <v>125</v>
      </c>
      <c r="C73" s="6">
        <v>6.3815</v>
      </c>
      <c r="D73" s="5">
        <v>14</v>
      </c>
      <c r="E73" s="5">
        <v>637</v>
      </c>
      <c r="F73" s="6">
        <v>8180.3370999999997</v>
      </c>
      <c r="G73" s="5" t="s">
        <v>35</v>
      </c>
      <c r="H73" s="7">
        <v>76</v>
      </c>
      <c r="I73" s="7" t="str">
        <f>IF(Table2_1[[#This Row],[Stock levels]]&gt;=71,"OverStocked",IF(Table2_1[[#This Row],[Stock levels]]&gt;=51,"Optimal Stock",IF(Table2_1[[#This Row],[Stock levels]]&gt;=21,"Low stocked","Critical Stock")))</f>
        <v>OverStocked</v>
      </c>
      <c r="J73" s="7">
        <v>2</v>
      </c>
      <c r="K73" s="7" t="str">
        <f>IF(Table2_1[[#This Row],[Lead times]]&gt;=20,"High",IF(Table2_1[[#This Row],[Lead times]]&gt;=10,"Medium","Low"))</f>
        <v>Low</v>
      </c>
      <c r="L73" s="7">
        <f>IFERROR(Table2_1[[#This Row],[Order quantities]]/Table2_1[[#This Row],[Stock levels]],0)</f>
        <v>0.34210526315789475</v>
      </c>
      <c r="M73" s="7" t="str">
        <f>IF(Table2_1[[#This Row],[Inventory Movement Index]]&gt;=2,"Fast Moving",IF(Table2_1[[#This Row],[Inventory Movement Index]]&gt;=1,"Normal","Slow Moving"))</f>
        <v>Slow Moving</v>
      </c>
      <c r="N73" s="7">
        <v>26</v>
      </c>
      <c r="O73" s="7">
        <v>6</v>
      </c>
      <c r="P73" s="8" t="s">
        <v>36</v>
      </c>
      <c r="Q73" s="9">
        <v>9.2281999999999993</v>
      </c>
      <c r="R73" s="10" t="s">
        <v>61</v>
      </c>
      <c r="S73" s="10" t="s">
        <v>53</v>
      </c>
      <c r="T73" s="11">
        <v>2</v>
      </c>
      <c r="U73" s="11">
        <v>258</v>
      </c>
      <c r="V73" s="11">
        <v>10</v>
      </c>
      <c r="W73" s="12">
        <v>30.6617</v>
      </c>
      <c r="X73" s="13" t="s">
        <v>30</v>
      </c>
      <c r="Y73" s="13">
        <v>2.078751</v>
      </c>
      <c r="Z73" s="13">
        <v>207.88</v>
      </c>
      <c r="AA73" s="14" t="s">
        <v>31</v>
      </c>
      <c r="AB73" s="14" t="s">
        <v>48</v>
      </c>
      <c r="AC73" s="15">
        <v>405.1671</v>
      </c>
    </row>
    <row r="74" spans="1:29" x14ac:dyDescent="0.35">
      <c r="A74" s="5" t="s">
        <v>157</v>
      </c>
      <c r="B74" s="5" t="s">
        <v>126</v>
      </c>
      <c r="C74" s="6">
        <v>90.204400000000007</v>
      </c>
      <c r="D74" s="5">
        <v>88</v>
      </c>
      <c r="E74" s="5">
        <v>478</v>
      </c>
      <c r="F74" s="6">
        <v>2633.1219999999998</v>
      </c>
      <c r="G74" s="5" t="s">
        <v>26</v>
      </c>
      <c r="H74" s="7">
        <v>57</v>
      </c>
      <c r="I74" s="7" t="str">
        <f>IF(Table2_1[[#This Row],[Stock levels]]&gt;=71,"OverStocked",IF(Table2_1[[#This Row],[Stock levels]]&gt;=51,"Optimal Stock",IF(Table2_1[[#This Row],[Stock levels]]&gt;=21,"Low stocked","Critical Stock")))</f>
        <v>Optimal Stock</v>
      </c>
      <c r="J74" s="7">
        <v>29</v>
      </c>
      <c r="K74" s="7" t="str">
        <f>IF(Table2_1[[#This Row],[Lead times]]&gt;=20,"High",IF(Table2_1[[#This Row],[Lead times]]&gt;=10,"Medium","Low"))</f>
        <v>High</v>
      </c>
      <c r="L74" s="7">
        <f>IFERROR(Table2_1[[#This Row],[Order quantities]]/Table2_1[[#This Row],[Stock levels]],0)</f>
        <v>1.3508771929824561</v>
      </c>
      <c r="M74" s="7" t="str">
        <f>IF(Table2_1[[#This Row],[Inventory Movement Index]]&gt;=2,"Fast Moving",IF(Table2_1[[#This Row],[Inventory Movement Index]]&gt;=1,"Normal","Slow Moving"))</f>
        <v>Normal</v>
      </c>
      <c r="N74" s="7">
        <v>77</v>
      </c>
      <c r="O74" s="7">
        <v>9</v>
      </c>
      <c r="P74" s="8" t="s">
        <v>36</v>
      </c>
      <c r="Q74" s="9">
        <v>6.5995999999999997</v>
      </c>
      <c r="R74" s="10" t="s">
        <v>39</v>
      </c>
      <c r="S74" s="10" t="s">
        <v>53</v>
      </c>
      <c r="T74" s="11">
        <v>21</v>
      </c>
      <c r="U74" s="11">
        <v>152</v>
      </c>
      <c r="V74" s="11">
        <v>11</v>
      </c>
      <c r="W74" s="12">
        <v>55.7605</v>
      </c>
      <c r="X74" s="13" t="s">
        <v>30</v>
      </c>
      <c r="Y74" s="13">
        <v>3.21333</v>
      </c>
      <c r="Z74" s="13">
        <v>321.33</v>
      </c>
      <c r="AA74" s="14" t="s">
        <v>47</v>
      </c>
      <c r="AB74" s="14" t="s">
        <v>32</v>
      </c>
      <c r="AC74" s="15">
        <v>677.94460000000004</v>
      </c>
    </row>
    <row r="75" spans="1:29" x14ac:dyDescent="0.35">
      <c r="A75" s="5" t="s">
        <v>157</v>
      </c>
      <c r="B75" s="5" t="s">
        <v>127</v>
      </c>
      <c r="C75" s="6">
        <v>83.850999999999999</v>
      </c>
      <c r="D75" s="5">
        <v>41</v>
      </c>
      <c r="E75" s="5">
        <v>375</v>
      </c>
      <c r="F75" s="6">
        <v>7910.8869000000004</v>
      </c>
      <c r="G75" s="5" t="s">
        <v>55</v>
      </c>
      <c r="H75" s="7">
        <v>17</v>
      </c>
      <c r="I75" s="7" t="str">
        <f>IF(Table2_1[[#This Row],[Stock levels]]&gt;=71,"OverStocked",IF(Table2_1[[#This Row],[Stock levels]]&gt;=51,"Optimal Stock",IF(Table2_1[[#This Row],[Stock levels]]&gt;=21,"Low stocked","Critical Stock")))</f>
        <v>Critical Stock</v>
      </c>
      <c r="J75" s="7">
        <v>25</v>
      </c>
      <c r="K75" s="7" t="str">
        <f>IF(Table2_1[[#This Row],[Lead times]]&gt;=20,"High",IF(Table2_1[[#This Row],[Lead times]]&gt;=10,"Medium","Low"))</f>
        <v>High</v>
      </c>
      <c r="L75" s="7">
        <f>IFERROR(Table2_1[[#This Row],[Order quantities]]/Table2_1[[#This Row],[Stock levels]],0)</f>
        <v>3.8823529411764706</v>
      </c>
      <c r="M75" s="7" t="str">
        <f>IF(Table2_1[[#This Row],[Inventory Movement Index]]&gt;=2,"Fast Moving",IF(Table2_1[[#This Row],[Inventory Movement Index]]&gt;=1,"Normal","Slow Moving"))</f>
        <v>Fast Moving</v>
      </c>
      <c r="N75" s="7">
        <v>66</v>
      </c>
      <c r="O75" s="7">
        <v>5</v>
      </c>
      <c r="P75" s="8" t="s">
        <v>27</v>
      </c>
      <c r="Q75" s="9">
        <v>1.5128999999999999</v>
      </c>
      <c r="R75" s="10" t="s">
        <v>52</v>
      </c>
      <c r="S75" s="10" t="s">
        <v>62</v>
      </c>
      <c r="T75" s="11">
        <v>13</v>
      </c>
      <c r="U75" s="11">
        <v>444</v>
      </c>
      <c r="V75" s="11">
        <v>4</v>
      </c>
      <c r="W75" s="12">
        <v>46.870199999999997</v>
      </c>
      <c r="X75" s="13" t="s">
        <v>46</v>
      </c>
      <c r="Y75" s="13">
        <v>4.620546</v>
      </c>
      <c r="Z75" s="13">
        <v>462.05</v>
      </c>
      <c r="AA75" s="14" t="s">
        <v>31</v>
      </c>
      <c r="AB75" s="14" t="s">
        <v>48</v>
      </c>
      <c r="AC75" s="15">
        <v>866.47280000000001</v>
      </c>
    </row>
    <row r="76" spans="1:29" x14ac:dyDescent="0.35">
      <c r="A76" s="5" t="s">
        <v>155</v>
      </c>
      <c r="B76" s="5" t="s">
        <v>128</v>
      </c>
      <c r="C76" s="6">
        <v>3.17</v>
      </c>
      <c r="D76" s="5">
        <v>64</v>
      </c>
      <c r="E76" s="5">
        <v>904</v>
      </c>
      <c r="F76" s="6">
        <v>5709.9453000000003</v>
      </c>
      <c r="G76" s="5" t="s">
        <v>35</v>
      </c>
      <c r="H76" s="7">
        <v>41</v>
      </c>
      <c r="I76" s="7" t="str">
        <f>IF(Table2_1[[#This Row],[Stock levels]]&gt;=71,"OverStocked",IF(Table2_1[[#This Row],[Stock levels]]&gt;=51,"Optimal Stock",IF(Table2_1[[#This Row],[Stock levels]]&gt;=21,"Low stocked","Critical Stock")))</f>
        <v>Low stocked</v>
      </c>
      <c r="J76" s="7">
        <v>6</v>
      </c>
      <c r="K76" s="7" t="str">
        <f>IF(Table2_1[[#This Row],[Lead times]]&gt;=20,"High",IF(Table2_1[[#This Row],[Lead times]]&gt;=10,"Medium","Low"))</f>
        <v>Low</v>
      </c>
      <c r="L76" s="7">
        <f>IFERROR(Table2_1[[#This Row],[Order quantities]]/Table2_1[[#This Row],[Stock levels]],0)</f>
        <v>2.4390243902439025E-2</v>
      </c>
      <c r="M76" s="7" t="str">
        <f>IF(Table2_1[[#This Row],[Inventory Movement Index]]&gt;=2,"Fast Moving",IF(Table2_1[[#This Row],[Inventory Movement Index]]&gt;=1,"Normal","Slow Moving"))</f>
        <v>Slow Moving</v>
      </c>
      <c r="N76" s="7">
        <v>1</v>
      </c>
      <c r="O76" s="7">
        <v>5</v>
      </c>
      <c r="P76" s="8" t="s">
        <v>36</v>
      </c>
      <c r="Q76" s="9">
        <v>5.2377000000000002</v>
      </c>
      <c r="R76" s="10" t="s">
        <v>52</v>
      </c>
      <c r="S76" s="10" t="s">
        <v>50</v>
      </c>
      <c r="T76" s="11">
        <v>1</v>
      </c>
      <c r="U76" s="11">
        <v>919</v>
      </c>
      <c r="V76" s="11">
        <v>9</v>
      </c>
      <c r="W76" s="12">
        <v>80.5809</v>
      </c>
      <c r="X76" s="13" t="s">
        <v>46</v>
      </c>
      <c r="Y76" s="13">
        <v>0.39661299999999999</v>
      </c>
      <c r="Z76" s="13">
        <v>39.659999999999997</v>
      </c>
      <c r="AA76" s="14" t="s">
        <v>47</v>
      </c>
      <c r="AB76" s="14" t="s">
        <v>48</v>
      </c>
      <c r="AC76" s="15">
        <v>341.55270000000002</v>
      </c>
    </row>
    <row r="77" spans="1:29" x14ac:dyDescent="0.35">
      <c r="A77" s="5" t="s">
        <v>156</v>
      </c>
      <c r="B77" s="5" t="s">
        <v>129</v>
      </c>
      <c r="C77" s="6">
        <v>92.996899999999997</v>
      </c>
      <c r="D77" s="5">
        <v>29</v>
      </c>
      <c r="E77" s="5">
        <v>106</v>
      </c>
      <c r="F77" s="6">
        <v>1889.0735999999999</v>
      </c>
      <c r="G77" s="5" t="s">
        <v>26</v>
      </c>
      <c r="H77" s="7">
        <v>16</v>
      </c>
      <c r="I77" s="7" t="str">
        <f>IF(Table2_1[[#This Row],[Stock levels]]&gt;=71,"OverStocked",IF(Table2_1[[#This Row],[Stock levels]]&gt;=51,"Optimal Stock",IF(Table2_1[[#This Row],[Stock levels]]&gt;=21,"Low stocked","Critical Stock")))</f>
        <v>Critical Stock</v>
      </c>
      <c r="J77" s="7">
        <v>20</v>
      </c>
      <c r="K77" s="7" t="str">
        <f>IF(Table2_1[[#This Row],[Lead times]]&gt;=20,"High",IF(Table2_1[[#This Row],[Lead times]]&gt;=10,"Medium","Low"))</f>
        <v>High</v>
      </c>
      <c r="L77" s="7">
        <f>IFERROR(Table2_1[[#This Row],[Order quantities]]/Table2_1[[#This Row],[Stock levels]],0)</f>
        <v>3.5</v>
      </c>
      <c r="M77" s="7" t="str">
        <f>IF(Table2_1[[#This Row],[Inventory Movement Index]]&gt;=2,"Fast Moving",IF(Table2_1[[#This Row],[Inventory Movement Index]]&gt;=1,"Normal","Slow Moving"))</f>
        <v>Fast Moving</v>
      </c>
      <c r="N77" s="7">
        <v>56</v>
      </c>
      <c r="O77" s="7">
        <v>10</v>
      </c>
      <c r="P77" s="8" t="s">
        <v>43</v>
      </c>
      <c r="Q77" s="9">
        <v>2.4739</v>
      </c>
      <c r="R77" s="10" t="s">
        <v>39</v>
      </c>
      <c r="S77" s="10" t="s">
        <v>62</v>
      </c>
      <c r="T77" s="11">
        <v>25</v>
      </c>
      <c r="U77" s="11">
        <v>759</v>
      </c>
      <c r="V77" s="11">
        <v>11</v>
      </c>
      <c r="W77" s="12">
        <v>48.064799999999998</v>
      </c>
      <c r="X77" s="13" t="s">
        <v>64</v>
      </c>
      <c r="Y77" s="13">
        <v>2.0300690000000001</v>
      </c>
      <c r="Z77" s="13">
        <v>203.01</v>
      </c>
      <c r="AA77" s="14" t="s">
        <v>40</v>
      </c>
      <c r="AB77" s="14" t="s">
        <v>41</v>
      </c>
      <c r="AC77" s="15">
        <v>873.12959999999998</v>
      </c>
    </row>
    <row r="78" spans="1:29" x14ac:dyDescent="0.35">
      <c r="A78" s="5" t="s">
        <v>155</v>
      </c>
      <c r="B78" s="5" t="s">
        <v>130</v>
      </c>
      <c r="C78" s="6">
        <v>69.108800000000002</v>
      </c>
      <c r="D78" s="5">
        <v>23</v>
      </c>
      <c r="E78" s="5">
        <v>241</v>
      </c>
      <c r="F78" s="6">
        <v>5328.3760000000002</v>
      </c>
      <c r="G78" s="5" t="s">
        <v>55</v>
      </c>
      <c r="H78" s="7">
        <v>38</v>
      </c>
      <c r="I78" s="7" t="str">
        <f>IF(Table2_1[[#This Row],[Stock levels]]&gt;=71,"OverStocked",IF(Table2_1[[#This Row],[Stock levels]]&gt;=51,"Optimal Stock",IF(Table2_1[[#This Row],[Stock levels]]&gt;=21,"Low stocked","Critical Stock")))</f>
        <v>Low stocked</v>
      </c>
      <c r="J78" s="7">
        <v>1</v>
      </c>
      <c r="K78" s="7" t="str">
        <f>IF(Table2_1[[#This Row],[Lead times]]&gt;=20,"High",IF(Table2_1[[#This Row],[Lead times]]&gt;=10,"Medium","Low"))</f>
        <v>Low</v>
      </c>
      <c r="L78" s="7">
        <f>IFERROR(Table2_1[[#This Row],[Order quantities]]/Table2_1[[#This Row],[Stock levels]],0)</f>
        <v>0.57894736842105265</v>
      </c>
      <c r="M78" s="7" t="str">
        <f>IF(Table2_1[[#This Row],[Inventory Movement Index]]&gt;=2,"Fast Moving",IF(Table2_1[[#This Row],[Inventory Movement Index]]&gt;=1,"Normal","Slow Moving"))</f>
        <v>Slow Moving</v>
      </c>
      <c r="N78" s="7">
        <v>22</v>
      </c>
      <c r="O78" s="7">
        <v>10</v>
      </c>
      <c r="P78" s="8" t="s">
        <v>36</v>
      </c>
      <c r="Q78" s="9">
        <v>7.0545</v>
      </c>
      <c r="R78" s="10" t="s">
        <v>61</v>
      </c>
      <c r="S78" s="10" t="s">
        <v>53</v>
      </c>
      <c r="T78" s="11">
        <v>25</v>
      </c>
      <c r="U78" s="11">
        <v>985</v>
      </c>
      <c r="V78" s="11">
        <v>24</v>
      </c>
      <c r="W78" s="12">
        <v>64.323599999999999</v>
      </c>
      <c r="X78" s="13" t="s">
        <v>30</v>
      </c>
      <c r="Y78" s="13">
        <v>2.180037</v>
      </c>
      <c r="Z78" s="13">
        <v>218</v>
      </c>
      <c r="AA78" s="14" t="s">
        <v>47</v>
      </c>
      <c r="AB78" s="14" t="s">
        <v>48</v>
      </c>
      <c r="AC78" s="15">
        <v>997.41340000000002</v>
      </c>
    </row>
    <row r="79" spans="1:29" x14ac:dyDescent="0.35">
      <c r="A79" s="5" t="s">
        <v>155</v>
      </c>
      <c r="B79" s="5" t="s">
        <v>131</v>
      </c>
      <c r="C79" s="6">
        <v>57.4497</v>
      </c>
      <c r="D79" s="5">
        <v>14</v>
      </c>
      <c r="E79" s="5">
        <v>359</v>
      </c>
      <c r="F79" s="6">
        <v>2483.7602000000002</v>
      </c>
      <c r="G79" s="5" t="s">
        <v>38</v>
      </c>
      <c r="H79" s="7">
        <v>96</v>
      </c>
      <c r="I79" s="7" t="str">
        <f>IF(Table2_1[[#This Row],[Stock levels]]&gt;=71,"OverStocked",IF(Table2_1[[#This Row],[Stock levels]]&gt;=51,"Optimal Stock",IF(Table2_1[[#This Row],[Stock levels]]&gt;=21,"Low stocked","Critical Stock")))</f>
        <v>OverStocked</v>
      </c>
      <c r="J79" s="7">
        <v>28</v>
      </c>
      <c r="K79" s="7" t="str">
        <f>IF(Table2_1[[#This Row],[Lead times]]&gt;=20,"High",IF(Table2_1[[#This Row],[Lead times]]&gt;=10,"Medium","Low"))</f>
        <v>High</v>
      </c>
      <c r="L79" s="7">
        <f>IFERROR(Table2_1[[#This Row],[Order quantities]]/Table2_1[[#This Row],[Stock levels]],0)</f>
        <v>0.59375</v>
      </c>
      <c r="M79" s="7" t="str">
        <f>IF(Table2_1[[#This Row],[Inventory Movement Index]]&gt;=2,"Fast Moving",IF(Table2_1[[#This Row],[Inventory Movement Index]]&gt;=1,"Normal","Slow Moving"))</f>
        <v>Slow Moving</v>
      </c>
      <c r="N79" s="7">
        <v>57</v>
      </c>
      <c r="O79" s="7">
        <v>4</v>
      </c>
      <c r="P79" s="8" t="s">
        <v>27</v>
      </c>
      <c r="Q79" s="9">
        <v>6.7808999999999999</v>
      </c>
      <c r="R79" s="10" t="s">
        <v>39</v>
      </c>
      <c r="S79" s="10" t="s">
        <v>45</v>
      </c>
      <c r="T79" s="11">
        <v>26</v>
      </c>
      <c r="U79" s="11">
        <v>334</v>
      </c>
      <c r="V79" s="11">
        <v>5</v>
      </c>
      <c r="W79" s="12">
        <v>42.952399999999997</v>
      </c>
      <c r="X79" s="13" t="s">
        <v>64</v>
      </c>
      <c r="Y79" s="13">
        <v>3.055142</v>
      </c>
      <c r="Z79" s="13">
        <v>305.51</v>
      </c>
      <c r="AA79" s="14" t="s">
        <v>31</v>
      </c>
      <c r="AB79" s="14" t="s">
        <v>32</v>
      </c>
      <c r="AC79" s="15">
        <v>852.56809999999996</v>
      </c>
    </row>
    <row r="80" spans="1:29" x14ac:dyDescent="0.35">
      <c r="A80" s="5" t="s">
        <v>155</v>
      </c>
      <c r="B80" s="5" t="s">
        <v>132</v>
      </c>
      <c r="C80" s="6">
        <v>6.3068999999999997</v>
      </c>
      <c r="D80" s="5">
        <v>50</v>
      </c>
      <c r="E80" s="5">
        <v>946</v>
      </c>
      <c r="F80" s="6">
        <v>1292.4584</v>
      </c>
      <c r="G80" s="5" t="s">
        <v>38</v>
      </c>
      <c r="H80" s="7">
        <v>5</v>
      </c>
      <c r="I80" s="7" t="str">
        <f>IF(Table2_1[[#This Row],[Stock levels]]&gt;=71,"OverStocked",IF(Table2_1[[#This Row],[Stock levels]]&gt;=51,"Optimal Stock",IF(Table2_1[[#This Row],[Stock levels]]&gt;=21,"Low stocked","Critical Stock")))</f>
        <v>Critical Stock</v>
      </c>
      <c r="J80" s="7">
        <v>4</v>
      </c>
      <c r="K80" s="7" t="str">
        <f>IF(Table2_1[[#This Row],[Lead times]]&gt;=20,"High",IF(Table2_1[[#This Row],[Lead times]]&gt;=10,"Medium","Low"))</f>
        <v>Low</v>
      </c>
      <c r="L80" s="7">
        <f>IFERROR(Table2_1[[#This Row],[Order quantities]]/Table2_1[[#This Row],[Stock levels]],0)</f>
        <v>10.199999999999999</v>
      </c>
      <c r="M80" s="7" t="str">
        <f>IF(Table2_1[[#This Row],[Inventory Movement Index]]&gt;=2,"Fast Moving",IF(Table2_1[[#This Row],[Inventory Movement Index]]&gt;=1,"Normal","Slow Moving"))</f>
        <v>Fast Moving</v>
      </c>
      <c r="N80" s="7">
        <v>51</v>
      </c>
      <c r="O80" s="7">
        <v>5</v>
      </c>
      <c r="P80" s="8" t="s">
        <v>27</v>
      </c>
      <c r="Q80" s="9">
        <v>8.4670000000000005</v>
      </c>
      <c r="R80" s="10" t="s">
        <v>44</v>
      </c>
      <c r="S80" s="10" t="s">
        <v>29</v>
      </c>
      <c r="T80" s="11">
        <v>25</v>
      </c>
      <c r="U80" s="11">
        <v>858</v>
      </c>
      <c r="V80" s="11">
        <v>21</v>
      </c>
      <c r="W80" s="12">
        <v>71.126499999999993</v>
      </c>
      <c r="X80" s="13" t="s">
        <v>30</v>
      </c>
      <c r="Y80" s="13">
        <v>4.0968809999999998</v>
      </c>
      <c r="Z80" s="13">
        <v>409.69</v>
      </c>
      <c r="AA80" s="14" t="s">
        <v>56</v>
      </c>
      <c r="AB80" s="14" t="s">
        <v>41</v>
      </c>
      <c r="AC80" s="15">
        <v>323.59219999999999</v>
      </c>
    </row>
    <row r="81" spans="1:29" x14ac:dyDescent="0.35">
      <c r="A81" s="5" t="s">
        <v>155</v>
      </c>
      <c r="B81" s="5" t="s">
        <v>133</v>
      </c>
      <c r="C81" s="6">
        <v>57.057000000000002</v>
      </c>
      <c r="D81" s="5">
        <v>56</v>
      </c>
      <c r="E81" s="5">
        <v>198</v>
      </c>
      <c r="F81" s="6">
        <v>7888.7232999999997</v>
      </c>
      <c r="G81" s="5" t="s">
        <v>26</v>
      </c>
      <c r="H81" s="7">
        <v>31</v>
      </c>
      <c r="I81" s="7" t="str">
        <f>IF(Table2_1[[#This Row],[Stock levels]]&gt;=71,"OverStocked",IF(Table2_1[[#This Row],[Stock levels]]&gt;=51,"Optimal Stock",IF(Table2_1[[#This Row],[Stock levels]]&gt;=21,"Low stocked","Critical Stock")))</f>
        <v>Low stocked</v>
      </c>
      <c r="J81" s="7">
        <v>25</v>
      </c>
      <c r="K81" s="7" t="str">
        <f>IF(Table2_1[[#This Row],[Lead times]]&gt;=20,"High",IF(Table2_1[[#This Row],[Lead times]]&gt;=10,"Medium","Low"))</f>
        <v>High</v>
      </c>
      <c r="L81" s="7">
        <f>IFERROR(Table2_1[[#This Row],[Order quantities]]/Table2_1[[#This Row],[Stock levels]],0)</f>
        <v>0.64516129032258063</v>
      </c>
      <c r="M81" s="7" t="str">
        <f>IF(Table2_1[[#This Row],[Inventory Movement Index]]&gt;=2,"Fast Moving",IF(Table2_1[[#This Row],[Inventory Movement Index]]&gt;=1,"Normal","Slow Moving"))</f>
        <v>Slow Moving</v>
      </c>
      <c r="N81" s="7">
        <v>20</v>
      </c>
      <c r="O81" s="7">
        <v>1</v>
      </c>
      <c r="P81" s="8" t="s">
        <v>27</v>
      </c>
      <c r="Q81" s="9">
        <v>6.4962999999999997</v>
      </c>
      <c r="R81" s="10" t="s">
        <v>28</v>
      </c>
      <c r="S81" s="10" t="s">
        <v>53</v>
      </c>
      <c r="T81" s="11">
        <v>5</v>
      </c>
      <c r="U81" s="11">
        <v>228</v>
      </c>
      <c r="V81" s="11">
        <v>12</v>
      </c>
      <c r="W81" s="12">
        <v>57.870899999999999</v>
      </c>
      <c r="X81" s="13" t="s">
        <v>30</v>
      </c>
      <c r="Y81" s="13">
        <v>0.16587199999999999</v>
      </c>
      <c r="Z81" s="13">
        <v>16.59</v>
      </c>
      <c r="AA81" s="14" t="s">
        <v>40</v>
      </c>
      <c r="AB81" s="14" t="s">
        <v>41</v>
      </c>
      <c r="AC81" s="15">
        <v>351.50420000000003</v>
      </c>
    </row>
    <row r="82" spans="1:29" x14ac:dyDescent="0.35">
      <c r="A82" s="5" t="s">
        <v>156</v>
      </c>
      <c r="B82" s="5" t="s">
        <v>134</v>
      </c>
      <c r="C82" s="6">
        <v>91.128299999999996</v>
      </c>
      <c r="D82" s="5">
        <v>75</v>
      </c>
      <c r="E82" s="5">
        <v>872</v>
      </c>
      <c r="F82" s="6">
        <v>8651.6726999999992</v>
      </c>
      <c r="G82" s="5" t="s">
        <v>38</v>
      </c>
      <c r="H82" s="7">
        <v>39</v>
      </c>
      <c r="I82" s="7" t="str">
        <f>IF(Table2_1[[#This Row],[Stock levels]]&gt;=71,"OverStocked",IF(Table2_1[[#This Row],[Stock levels]]&gt;=51,"Optimal Stock",IF(Table2_1[[#This Row],[Stock levels]]&gt;=21,"Low stocked","Critical Stock")))</f>
        <v>Low stocked</v>
      </c>
      <c r="J82" s="7">
        <v>14</v>
      </c>
      <c r="K82" s="7" t="str">
        <f>IF(Table2_1[[#This Row],[Lead times]]&gt;=20,"High",IF(Table2_1[[#This Row],[Lead times]]&gt;=10,"Medium","Low"))</f>
        <v>Medium</v>
      </c>
      <c r="L82" s="7">
        <f>IFERROR(Table2_1[[#This Row],[Order quantities]]/Table2_1[[#This Row],[Stock levels]],0)</f>
        <v>1.0512820512820513</v>
      </c>
      <c r="M82" s="7" t="str">
        <f>IF(Table2_1[[#This Row],[Inventory Movement Index]]&gt;=2,"Fast Moving",IF(Table2_1[[#This Row],[Inventory Movement Index]]&gt;=1,"Normal","Slow Moving"))</f>
        <v>Normal</v>
      </c>
      <c r="N82" s="7">
        <v>41</v>
      </c>
      <c r="O82" s="7">
        <v>2</v>
      </c>
      <c r="P82" s="8" t="s">
        <v>43</v>
      </c>
      <c r="Q82" s="9">
        <v>2.8332000000000002</v>
      </c>
      <c r="R82" s="10" t="s">
        <v>28</v>
      </c>
      <c r="S82" s="10" t="s">
        <v>62</v>
      </c>
      <c r="T82" s="11">
        <v>8</v>
      </c>
      <c r="U82" s="11">
        <v>202</v>
      </c>
      <c r="V82" s="11">
        <v>5</v>
      </c>
      <c r="W82" s="12">
        <v>76.961200000000005</v>
      </c>
      <c r="X82" s="13" t="s">
        <v>46</v>
      </c>
      <c r="Y82" s="13">
        <v>2.8496619999999999</v>
      </c>
      <c r="Z82" s="13">
        <v>284.97000000000003</v>
      </c>
      <c r="AA82" s="14" t="s">
        <v>56</v>
      </c>
      <c r="AB82" s="14" t="s">
        <v>32</v>
      </c>
      <c r="AC82" s="15">
        <v>787.77980000000002</v>
      </c>
    </row>
    <row r="83" spans="1:29" x14ac:dyDescent="0.35">
      <c r="A83" s="5" t="s">
        <v>155</v>
      </c>
      <c r="B83" s="5" t="s">
        <v>135</v>
      </c>
      <c r="C83" s="6">
        <v>72.819199999999995</v>
      </c>
      <c r="D83" s="5">
        <v>9</v>
      </c>
      <c r="E83" s="5">
        <v>774</v>
      </c>
      <c r="F83" s="6">
        <v>4384.4134000000004</v>
      </c>
      <c r="G83" s="5" t="s">
        <v>38</v>
      </c>
      <c r="H83" s="7">
        <v>48</v>
      </c>
      <c r="I83" s="7" t="str">
        <f>IF(Table2_1[[#This Row],[Stock levels]]&gt;=71,"OverStocked",IF(Table2_1[[#This Row],[Stock levels]]&gt;=51,"Optimal Stock",IF(Table2_1[[#This Row],[Stock levels]]&gt;=21,"Low stocked","Critical Stock")))</f>
        <v>Low stocked</v>
      </c>
      <c r="J83" s="7">
        <v>6</v>
      </c>
      <c r="K83" s="7" t="str">
        <f>IF(Table2_1[[#This Row],[Lead times]]&gt;=20,"High",IF(Table2_1[[#This Row],[Lead times]]&gt;=10,"Medium","Low"))</f>
        <v>Low</v>
      </c>
      <c r="L83" s="7">
        <f>IFERROR(Table2_1[[#This Row],[Order quantities]]/Table2_1[[#This Row],[Stock levels]],0)</f>
        <v>0.16666666666666666</v>
      </c>
      <c r="M83" s="7" t="str">
        <f>IF(Table2_1[[#This Row],[Inventory Movement Index]]&gt;=2,"Fast Moving",IF(Table2_1[[#This Row],[Inventory Movement Index]]&gt;=1,"Normal","Slow Moving"))</f>
        <v>Slow Moving</v>
      </c>
      <c r="N83" s="7">
        <v>8</v>
      </c>
      <c r="O83" s="7">
        <v>5</v>
      </c>
      <c r="P83" s="8" t="s">
        <v>27</v>
      </c>
      <c r="Q83" s="9">
        <v>4.0663</v>
      </c>
      <c r="R83" s="10" t="s">
        <v>28</v>
      </c>
      <c r="S83" s="10" t="s">
        <v>50</v>
      </c>
      <c r="T83" s="11">
        <v>28</v>
      </c>
      <c r="U83" s="11">
        <v>698</v>
      </c>
      <c r="V83" s="11">
        <v>1</v>
      </c>
      <c r="W83" s="12">
        <v>19.7896</v>
      </c>
      <c r="X83" s="13" t="s">
        <v>30</v>
      </c>
      <c r="Y83" s="13">
        <v>2.5475469999999998</v>
      </c>
      <c r="Z83" s="13">
        <v>254.75</v>
      </c>
      <c r="AA83" s="14" t="s">
        <v>47</v>
      </c>
      <c r="AB83" s="14" t="s">
        <v>32</v>
      </c>
      <c r="AC83" s="15">
        <v>276.7783</v>
      </c>
    </row>
    <row r="84" spans="1:29" x14ac:dyDescent="0.35">
      <c r="A84" s="5" t="s">
        <v>156</v>
      </c>
      <c r="B84" s="5" t="s">
        <v>136</v>
      </c>
      <c r="C84" s="6">
        <v>17.0349</v>
      </c>
      <c r="D84" s="5">
        <v>13</v>
      </c>
      <c r="E84" s="5">
        <v>336</v>
      </c>
      <c r="F84" s="6">
        <v>2943.3818999999999</v>
      </c>
      <c r="G84" s="5" t="s">
        <v>38</v>
      </c>
      <c r="H84" s="7">
        <v>42</v>
      </c>
      <c r="I84" s="7" t="str">
        <f>IF(Table2_1[[#This Row],[Stock levels]]&gt;=71,"OverStocked",IF(Table2_1[[#This Row],[Stock levels]]&gt;=51,"Optimal Stock",IF(Table2_1[[#This Row],[Stock levels]]&gt;=21,"Low stocked","Critical Stock")))</f>
        <v>Low stocked</v>
      </c>
      <c r="J84" s="7">
        <v>19</v>
      </c>
      <c r="K84" s="7" t="str">
        <f>IF(Table2_1[[#This Row],[Lead times]]&gt;=20,"High",IF(Table2_1[[#This Row],[Lead times]]&gt;=10,"Medium","Low"))</f>
        <v>Medium</v>
      </c>
      <c r="L84" s="7">
        <f>IFERROR(Table2_1[[#This Row],[Order quantities]]/Table2_1[[#This Row],[Stock levels]],0)</f>
        <v>1.7142857142857142</v>
      </c>
      <c r="M84" s="7" t="str">
        <f>IF(Table2_1[[#This Row],[Inventory Movement Index]]&gt;=2,"Fast Moving",IF(Table2_1[[#This Row],[Inventory Movement Index]]&gt;=1,"Normal","Slow Moving"))</f>
        <v>Normal</v>
      </c>
      <c r="N84" s="7">
        <v>72</v>
      </c>
      <c r="O84" s="7">
        <v>1</v>
      </c>
      <c r="P84" s="8" t="s">
        <v>36</v>
      </c>
      <c r="Q84" s="9">
        <v>4.7081999999999997</v>
      </c>
      <c r="R84" s="10" t="s">
        <v>61</v>
      </c>
      <c r="S84" s="10" t="s">
        <v>29</v>
      </c>
      <c r="T84" s="11">
        <v>6</v>
      </c>
      <c r="U84" s="11">
        <v>955</v>
      </c>
      <c r="V84" s="11">
        <v>26</v>
      </c>
      <c r="W84" s="12">
        <v>4.4653</v>
      </c>
      <c r="X84" s="13" t="s">
        <v>30</v>
      </c>
      <c r="Y84" s="13">
        <v>4.1378769999999996</v>
      </c>
      <c r="Z84" s="13">
        <v>413.79</v>
      </c>
      <c r="AA84" s="14" t="s">
        <v>31</v>
      </c>
      <c r="AB84" s="14" t="s">
        <v>41</v>
      </c>
      <c r="AC84" s="15">
        <v>589.97860000000003</v>
      </c>
    </row>
    <row r="85" spans="1:29" x14ac:dyDescent="0.35">
      <c r="A85" s="5" t="s">
        <v>155</v>
      </c>
      <c r="B85" s="5" t="s">
        <v>137</v>
      </c>
      <c r="C85" s="6">
        <v>68.911199999999994</v>
      </c>
      <c r="D85" s="5">
        <v>82</v>
      </c>
      <c r="E85" s="5">
        <v>663</v>
      </c>
      <c r="F85" s="6">
        <v>2411.7546000000002</v>
      </c>
      <c r="G85" s="5" t="s">
        <v>38</v>
      </c>
      <c r="H85" s="7">
        <v>65</v>
      </c>
      <c r="I85" s="7" t="str">
        <f>IF(Table2_1[[#This Row],[Stock levels]]&gt;=71,"OverStocked",IF(Table2_1[[#This Row],[Stock levels]]&gt;=51,"Optimal Stock",IF(Table2_1[[#This Row],[Stock levels]]&gt;=21,"Low stocked","Critical Stock")))</f>
        <v>Optimal Stock</v>
      </c>
      <c r="J85" s="7">
        <v>24</v>
      </c>
      <c r="K85" s="7" t="str">
        <f>IF(Table2_1[[#This Row],[Lead times]]&gt;=20,"High",IF(Table2_1[[#This Row],[Lead times]]&gt;=10,"Medium","Low"))</f>
        <v>High</v>
      </c>
      <c r="L85" s="7">
        <f>IFERROR(Table2_1[[#This Row],[Order quantities]]/Table2_1[[#This Row],[Stock levels]],0)</f>
        <v>0.1076923076923077</v>
      </c>
      <c r="M85" s="7" t="str">
        <f>IF(Table2_1[[#This Row],[Inventory Movement Index]]&gt;=2,"Fast Moving",IF(Table2_1[[#This Row],[Inventory Movement Index]]&gt;=1,"Normal","Slow Moving"))</f>
        <v>Slow Moving</v>
      </c>
      <c r="N85" s="7">
        <v>7</v>
      </c>
      <c r="O85" s="7">
        <v>8</v>
      </c>
      <c r="P85" s="8" t="s">
        <v>27</v>
      </c>
      <c r="Q85" s="9">
        <v>4.9497999999999998</v>
      </c>
      <c r="R85" s="10" t="s">
        <v>39</v>
      </c>
      <c r="S85" s="10" t="s">
        <v>53</v>
      </c>
      <c r="T85" s="11">
        <v>20</v>
      </c>
      <c r="U85" s="11">
        <v>443</v>
      </c>
      <c r="V85" s="11">
        <v>5</v>
      </c>
      <c r="W85" s="12">
        <v>97.730599999999995</v>
      </c>
      <c r="X85" s="13" t="s">
        <v>46</v>
      </c>
      <c r="Y85" s="13">
        <v>0.77300599999999997</v>
      </c>
      <c r="Z85" s="13">
        <v>77.3</v>
      </c>
      <c r="AA85" s="14" t="s">
        <v>31</v>
      </c>
      <c r="AB85" s="14" t="s">
        <v>48</v>
      </c>
      <c r="AC85" s="15">
        <v>682.971</v>
      </c>
    </row>
    <row r="86" spans="1:29" x14ac:dyDescent="0.35">
      <c r="A86" s="5" t="s">
        <v>155</v>
      </c>
      <c r="B86" s="5" t="s">
        <v>138</v>
      </c>
      <c r="C86" s="6">
        <v>89.104399999999998</v>
      </c>
      <c r="D86" s="5">
        <v>99</v>
      </c>
      <c r="E86" s="5">
        <v>618</v>
      </c>
      <c r="F86" s="6">
        <v>2048.2901000000002</v>
      </c>
      <c r="G86" s="5" t="s">
        <v>38</v>
      </c>
      <c r="H86" s="7">
        <v>73</v>
      </c>
      <c r="I86" s="7" t="str">
        <f>IF(Table2_1[[#This Row],[Stock levels]]&gt;=71,"OverStocked",IF(Table2_1[[#This Row],[Stock levels]]&gt;=51,"Optimal Stock",IF(Table2_1[[#This Row],[Stock levels]]&gt;=21,"Low stocked","Critical Stock")))</f>
        <v>OverStocked</v>
      </c>
      <c r="J86" s="7">
        <v>26</v>
      </c>
      <c r="K86" s="7" t="str">
        <f>IF(Table2_1[[#This Row],[Lead times]]&gt;=20,"High",IF(Table2_1[[#This Row],[Lead times]]&gt;=10,"Medium","Low"))</f>
        <v>High</v>
      </c>
      <c r="L86" s="7">
        <f>IFERROR(Table2_1[[#This Row],[Order quantities]]/Table2_1[[#This Row],[Stock levels]],0)</f>
        <v>1.095890410958904</v>
      </c>
      <c r="M86" s="7" t="str">
        <f>IF(Table2_1[[#This Row],[Inventory Movement Index]]&gt;=2,"Fast Moving",IF(Table2_1[[#This Row],[Inventory Movement Index]]&gt;=1,"Normal","Slow Moving"))</f>
        <v>Normal</v>
      </c>
      <c r="N86" s="7">
        <v>80</v>
      </c>
      <c r="O86" s="7">
        <v>10</v>
      </c>
      <c r="P86" s="8" t="s">
        <v>36</v>
      </c>
      <c r="Q86" s="9">
        <v>8.3816000000000006</v>
      </c>
      <c r="R86" s="10" t="s">
        <v>44</v>
      </c>
      <c r="S86" s="10" t="s">
        <v>62</v>
      </c>
      <c r="T86" s="11">
        <v>24</v>
      </c>
      <c r="U86" s="11">
        <v>589</v>
      </c>
      <c r="V86" s="11">
        <v>22</v>
      </c>
      <c r="W86" s="12">
        <v>33.808599999999998</v>
      </c>
      <c r="X86" s="13" t="s">
        <v>64</v>
      </c>
      <c r="Y86" s="13">
        <v>4.8434569999999999</v>
      </c>
      <c r="Z86" s="13">
        <v>484.35</v>
      </c>
      <c r="AA86" s="14" t="s">
        <v>40</v>
      </c>
      <c r="AB86" s="14" t="s">
        <v>32</v>
      </c>
      <c r="AC86" s="15">
        <v>465.45699999999999</v>
      </c>
    </row>
    <row r="87" spans="1:29" x14ac:dyDescent="0.35">
      <c r="A87" s="5" t="s">
        <v>157</v>
      </c>
      <c r="B87" s="5" t="s">
        <v>139</v>
      </c>
      <c r="C87" s="6">
        <v>76.962999999999994</v>
      </c>
      <c r="D87" s="5">
        <v>83</v>
      </c>
      <c r="E87" s="5">
        <v>25</v>
      </c>
      <c r="F87" s="6">
        <v>8684.6131000000005</v>
      </c>
      <c r="G87" s="5" t="s">
        <v>35</v>
      </c>
      <c r="H87" s="7">
        <v>15</v>
      </c>
      <c r="I87" s="7" t="str">
        <f>IF(Table2_1[[#This Row],[Stock levels]]&gt;=71,"OverStocked",IF(Table2_1[[#This Row],[Stock levels]]&gt;=51,"Optimal Stock",IF(Table2_1[[#This Row],[Stock levels]]&gt;=21,"Low stocked","Critical Stock")))</f>
        <v>Critical Stock</v>
      </c>
      <c r="J87" s="7">
        <v>18</v>
      </c>
      <c r="K87" s="7" t="str">
        <f>IF(Table2_1[[#This Row],[Lead times]]&gt;=20,"High",IF(Table2_1[[#This Row],[Lead times]]&gt;=10,"Medium","Low"))</f>
        <v>Medium</v>
      </c>
      <c r="L87" s="7">
        <f>IFERROR(Table2_1[[#This Row],[Order quantities]]/Table2_1[[#This Row],[Stock levels]],0)</f>
        <v>4.4000000000000004</v>
      </c>
      <c r="M87" s="7" t="str">
        <f>IF(Table2_1[[#This Row],[Inventory Movement Index]]&gt;=2,"Fast Moving",IF(Table2_1[[#This Row],[Inventory Movement Index]]&gt;=1,"Normal","Slow Moving"))</f>
        <v>Fast Moving</v>
      </c>
      <c r="N87" s="7">
        <v>66</v>
      </c>
      <c r="O87" s="7">
        <v>2</v>
      </c>
      <c r="P87" s="8" t="s">
        <v>43</v>
      </c>
      <c r="Q87" s="9">
        <v>8.2492000000000001</v>
      </c>
      <c r="R87" s="10" t="s">
        <v>44</v>
      </c>
      <c r="S87" s="10" t="s">
        <v>62</v>
      </c>
      <c r="T87" s="11">
        <v>4</v>
      </c>
      <c r="U87" s="11">
        <v>211</v>
      </c>
      <c r="V87" s="11">
        <v>2</v>
      </c>
      <c r="W87" s="12">
        <v>69.929299999999998</v>
      </c>
      <c r="X87" s="13" t="s">
        <v>46</v>
      </c>
      <c r="Y87" s="13">
        <v>1.3744289999999999</v>
      </c>
      <c r="Z87" s="13">
        <v>137.44</v>
      </c>
      <c r="AA87" s="14" t="s">
        <v>31</v>
      </c>
      <c r="AB87" s="14" t="s">
        <v>32</v>
      </c>
      <c r="AC87" s="15">
        <v>842.68679999999995</v>
      </c>
    </row>
    <row r="88" spans="1:29" x14ac:dyDescent="0.35">
      <c r="A88" s="5" t="s">
        <v>156</v>
      </c>
      <c r="B88" s="5" t="s">
        <v>140</v>
      </c>
      <c r="C88" s="6">
        <v>19.998200000000001</v>
      </c>
      <c r="D88" s="5">
        <v>18</v>
      </c>
      <c r="E88" s="5">
        <v>223</v>
      </c>
      <c r="F88" s="6">
        <v>1229.5909999999999</v>
      </c>
      <c r="G88" s="5" t="s">
        <v>38</v>
      </c>
      <c r="H88" s="7">
        <v>32</v>
      </c>
      <c r="I88" s="7" t="str">
        <f>IF(Table2_1[[#This Row],[Stock levels]]&gt;=71,"OverStocked",IF(Table2_1[[#This Row],[Stock levels]]&gt;=51,"Optimal Stock",IF(Table2_1[[#This Row],[Stock levels]]&gt;=21,"Low stocked","Critical Stock")))</f>
        <v>Low stocked</v>
      </c>
      <c r="J88" s="7">
        <v>14</v>
      </c>
      <c r="K88" s="7" t="str">
        <f>IF(Table2_1[[#This Row],[Lead times]]&gt;=20,"High",IF(Table2_1[[#This Row],[Lead times]]&gt;=10,"Medium","Low"))</f>
        <v>Medium</v>
      </c>
      <c r="L88" s="7">
        <f>IFERROR(Table2_1[[#This Row],[Order quantities]]/Table2_1[[#This Row],[Stock levels]],0)</f>
        <v>0.6875</v>
      </c>
      <c r="M88" s="7" t="str">
        <f>IF(Table2_1[[#This Row],[Inventory Movement Index]]&gt;=2,"Fast Moving",IF(Table2_1[[#This Row],[Inventory Movement Index]]&gt;=1,"Normal","Slow Moving"))</f>
        <v>Slow Moving</v>
      </c>
      <c r="N88" s="7">
        <v>22</v>
      </c>
      <c r="O88" s="7">
        <v>6</v>
      </c>
      <c r="P88" s="8" t="s">
        <v>27</v>
      </c>
      <c r="Q88" s="9">
        <v>1.4542999999999999</v>
      </c>
      <c r="R88" s="10" t="s">
        <v>39</v>
      </c>
      <c r="S88" s="10" t="s">
        <v>29</v>
      </c>
      <c r="T88" s="11">
        <v>4</v>
      </c>
      <c r="U88" s="11">
        <v>569</v>
      </c>
      <c r="V88" s="11">
        <v>18</v>
      </c>
      <c r="W88" s="12">
        <v>74.608999999999995</v>
      </c>
      <c r="X88" s="13" t="s">
        <v>64</v>
      </c>
      <c r="Y88" s="13">
        <v>2.0515129999999999</v>
      </c>
      <c r="Z88" s="13">
        <v>205.15</v>
      </c>
      <c r="AA88" s="14" t="s">
        <v>47</v>
      </c>
      <c r="AB88" s="14" t="s">
        <v>48</v>
      </c>
      <c r="AC88" s="15">
        <v>264.25490000000002</v>
      </c>
    </row>
    <row r="89" spans="1:29" x14ac:dyDescent="0.35">
      <c r="A89" s="5" t="s">
        <v>155</v>
      </c>
      <c r="B89" s="5" t="s">
        <v>141</v>
      </c>
      <c r="C89" s="6">
        <v>80.414000000000001</v>
      </c>
      <c r="D89" s="5">
        <v>24</v>
      </c>
      <c r="E89" s="5">
        <v>79</v>
      </c>
      <c r="F89" s="6">
        <v>5133.8467000000001</v>
      </c>
      <c r="G89" s="5" t="s">
        <v>55</v>
      </c>
      <c r="H89" s="7">
        <v>5</v>
      </c>
      <c r="I89" s="7" t="str">
        <f>IF(Table2_1[[#This Row],[Stock levels]]&gt;=71,"OverStocked",IF(Table2_1[[#This Row],[Stock levels]]&gt;=51,"Optimal Stock",IF(Table2_1[[#This Row],[Stock levels]]&gt;=21,"Low stocked","Critical Stock")))</f>
        <v>Critical Stock</v>
      </c>
      <c r="J89" s="7">
        <v>7</v>
      </c>
      <c r="K89" s="7" t="str">
        <f>IF(Table2_1[[#This Row],[Lead times]]&gt;=20,"High",IF(Table2_1[[#This Row],[Lead times]]&gt;=10,"Medium","Low"))</f>
        <v>Low</v>
      </c>
      <c r="L89" s="7">
        <f>IFERROR(Table2_1[[#This Row],[Order quantities]]/Table2_1[[#This Row],[Stock levels]],0)</f>
        <v>11</v>
      </c>
      <c r="M89" s="7" t="str">
        <f>IF(Table2_1[[#This Row],[Inventory Movement Index]]&gt;=2,"Fast Moving",IF(Table2_1[[#This Row],[Inventory Movement Index]]&gt;=1,"Normal","Slow Moving"))</f>
        <v>Fast Moving</v>
      </c>
      <c r="N89" s="7">
        <v>55</v>
      </c>
      <c r="O89" s="7">
        <v>10</v>
      </c>
      <c r="P89" s="8" t="s">
        <v>36</v>
      </c>
      <c r="Q89" s="9">
        <v>6.5758000000000001</v>
      </c>
      <c r="R89" s="10" t="s">
        <v>28</v>
      </c>
      <c r="S89" s="10" t="s">
        <v>62</v>
      </c>
      <c r="T89" s="11">
        <v>27</v>
      </c>
      <c r="U89" s="11">
        <v>523</v>
      </c>
      <c r="V89" s="11">
        <v>17</v>
      </c>
      <c r="W89" s="12">
        <v>28.696999999999999</v>
      </c>
      <c r="X89" s="13" t="s">
        <v>46</v>
      </c>
      <c r="Y89" s="13">
        <v>3.6937380000000002</v>
      </c>
      <c r="Z89" s="13">
        <v>369.37</v>
      </c>
      <c r="AA89" s="14" t="s">
        <v>56</v>
      </c>
      <c r="AB89" s="14" t="s">
        <v>32</v>
      </c>
      <c r="AC89" s="15">
        <v>879.35919999999999</v>
      </c>
    </row>
    <row r="90" spans="1:29" x14ac:dyDescent="0.35">
      <c r="A90" s="5" t="s">
        <v>157</v>
      </c>
      <c r="B90" s="5" t="s">
        <v>142</v>
      </c>
      <c r="C90" s="6">
        <v>75.270399999999995</v>
      </c>
      <c r="D90" s="5">
        <v>58</v>
      </c>
      <c r="E90" s="5">
        <v>737</v>
      </c>
      <c r="F90" s="6">
        <v>9444.7420000000002</v>
      </c>
      <c r="G90" s="5" t="s">
        <v>55</v>
      </c>
      <c r="H90" s="7">
        <v>60</v>
      </c>
      <c r="I90" s="7" t="str">
        <f>IF(Table2_1[[#This Row],[Stock levels]]&gt;=71,"OverStocked",IF(Table2_1[[#This Row],[Stock levels]]&gt;=51,"Optimal Stock",IF(Table2_1[[#This Row],[Stock levels]]&gt;=21,"Low stocked","Critical Stock")))</f>
        <v>Optimal Stock</v>
      </c>
      <c r="J90" s="7">
        <v>18</v>
      </c>
      <c r="K90" s="7" t="str">
        <f>IF(Table2_1[[#This Row],[Lead times]]&gt;=20,"High",IF(Table2_1[[#This Row],[Lead times]]&gt;=10,"Medium","Low"))</f>
        <v>Medium</v>
      </c>
      <c r="L90" s="7">
        <f>IFERROR(Table2_1[[#This Row],[Order quantities]]/Table2_1[[#This Row],[Stock levels]],0)</f>
        <v>1.4166666666666667</v>
      </c>
      <c r="M90" s="7" t="str">
        <f>IF(Table2_1[[#This Row],[Inventory Movement Index]]&gt;=2,"Fast Moving",IF(Table2_1[[#This Row],[Inventory Movement Index]]&gt;=1,"Normal","Slow Moving"))</f>
        <v>Normal</v>
      </c>
      <c r="N90" s="7">
        <v>85</v>
      </c>
      <c r="O90" s="7">
        <v>7</v>
      </c>
      <c r="P90" s="8" t="s">
        <v>36</v>
      </c>
      <c r="Q90" s="9">
        <v>3.8012999999999999</v>
      </c>
      <c r="R90" s="10" t="s">
        <v>61</v>
      </c>
      <c r="S90" s="10" t="s">
        <v>29</v>
      </c>
      <c r="T90" s="11">
        <v>21</v>
      </c>
      <c r="U90" s="11">
        <v>953</v>
      </c>
      <c r="V90" s="11">
        <v>11</v>
      </c>
      <c r="W90" s="12">
        <v>68.184899999999999</v>
      </c>
      <c r="X90" s="13" t="s">
        <v>30</v>
      </c>
      <c r="Y90" s="13">
        <v>0.72220399999999996</v>
      </c>
      <c r="Z90" s="13">
        <v>72.22</v>
      </c>
      <c r="AA90" s="14" t="s">
        <v>56</v>
      </c>
      <c r="AB90" s="14" t="s">
        <v>48</v>
      </c>
      <c r="AC90" s="15">
        <v>103.9162</v>
      </c>
    </row>
    <row r="91" spans="1:29" x14ac:dyDescent="0.35">
      <c r="A91" s="5" t="s">
        <v>157</v>
      </c>
      <c r="B91" s="5" t="s">
        <v>143</v>
      </c>
      <c r="C91" s="6">
        <v>97.760099999999994</v>
      </c>
      <c r="D91" s="5">
        <v>10</v>
      </c>
      <c r="E91" s="5">
        <v>134</v>
      </c>
      <c r="F91" s="6">
        <v>5924.6826000000001</v>
      </c>
      <c r="G91" s="5" t="s">
        <v>38</v>
      </c>
      <c r="H91" s="7">
        <v>90</v>
      </c>
      <c r="I91" s="7" t="str">
        <f>IF(Table2_1[[#This Row],[Stock levels]]&gt;=71,"OverStocked",IF(Table2_1[[#This Row],[Stock levels]]&gt;=51,"Optimal Stock",IF(Table2_1[[#This Row],[Stock levels]]&gt;=21,"Low stocked","Critical Stock")))</f>
        <v>OverStocked</v>
      </c>
      <c r="J91" s="7">
        <v>1</v>
      </c>
      <c r="K91" s="7" t="str">
        <f>IF(Table2_1[[#This Row],[Lead times]]&gt;=20,"High",IF(Table2_1[[#This Row],[Lead times]]&gt;=10,"Medium","Low"))</f>
        <v>Low</v>
      </c>
      <c r="L91" s="7">
        <f>IFERROR(Table2_1[[#This Row],[Order quantities]]/Table2_1[[#This Row],[Stock levels]],0)</f>
        <v>0.3</v>
      </c>
      <c r="M91" s="7" t="str">
        <f>IF(Table2_1[[#This Row],[Inventory Movement Index]]&gt;=2,"Fast Moving",IF(Table2_1[[#This Row],[Inventory Movement Index]]&gt;=1,"Normal","Slow Moving"))</f>
        <v>Slow Moving</v>
      </c>
      <c r="N91" s="7">
        <v>27</v>
      </c>
      <c r="O91" s="7">
        <v>8</v>
      </c>
      <c r="P91" s="8" t="s">
        <v>27</v>
      </c>
      <c r="Q91" s="9">
        <v>9.9298000000000002</v>
      </c>
      <c r="R91" s="10" t="s">
        <v>39</v>
      </c>
      <c r="S91" s="10" t="s">
        <v>45</v>
      </c>
      <c r="T91" s="11">
        <v>23</v>
      </c>
      <c r="U91" s="11">
        <v>370</v>
      </c>
      <c r="V91" s="11">
        <v>11</v>
      </c>
      <c r="W91" s="12">
        <v>46.603900000000003</v>
      </c>
      <c r="X91" s="13" t="s">
        <v>30</v>
      </c>
      <c r="Y91" s="13">
        <v>1.9076660000000001</v>
      </c>
      <c r="Z91" s="13">
        <v>190.77</v>
      </c>
      <c r="AA91" s="14" t="s">
        <v>47</v>
      </c>
      <c r="AB91" s="14" t="s">
        <v>32</v>
      </c>
      <c r="AC91" s="15">
        <v>517.5</v>
      </c>
    </row>
    <row r="92" spans="1:29" x14ac:dyDescent="0.35">
      <c r="A92" s="5" t="s">
        <v>156</v>
      </c>
      <c r="B92" s="5" t="s">
        <v>144</v>
      </c>
      <c r="C92" s="6">
        <v>13.8819</v>
      </c>
      <c r="D92" s="5">
        <v>56</v>
      </c>
      <c r="E92" s="5">
        <v>320</v>
      </c>
      <c r="F92" s="6">
        <v>9592.6335999999992</v>
      </c>
      <c r="G92" s="5" t="s">
        <v>26</v>
      </c>
      <c r="H92" s="7">
        <v>66</v>
      </c>
      <c r="I92" s="7" t="str">
        <f>IF(Table2_1[[#This Row],[Stock levels]]&gt;=71,"OverStocked",IF(Table2_1[[#This Row],[Stock levels]]&gt;=51,"Optimal Stock",IF(Table2_1[[#This Row],[Stock levels]]&gt;=21,"Low stocked","Critical Stock")))</f>
        <v>Optimal Stock</v>
      </c>
      <c r="J92" s="7">
        <v>18</v>
      </c>
      <c r="K92" s="7" t="str">
        <f>IF(Table2_1[[#This Row],[Lead times]]&gt;=20,"High",IF(Table2_1[[#This Row],[Lead times]]&gt;=10,"Medium","Low"))</f>
        <v>Medium</v>
      </c>
      <c r="L92" s="7">
        <f>IFERROR(Table2_1[[#This Row],[Order quantities]]/Table2_1[[#This Row],[Stock levels]],0)</f>
        <v>1.4545454545454546</v>
      </c>
      <c r="M92" s="7" t="str">
        <f>IF(Table2_1[[#This Row],[Inventory Movement Index]]&gt;=2,"Fast Moving",IF(Table2_1[[#This Row],[Inventory Movement Index]]&gt;=1,"Normal","Slow Moving"))</f>
        <v>Normal</v>
      </c>
      <c r="N92" s="7">
        <v>96</v>
      </c>
      <c r="O92" s="7">
        <v>7</v>
      </c>
      <c r="P92" s="8" t="s">
        <v>27</v>
      </c>
      <c r="Q92" s="9">
        <v>7.6744000000000003</v>
      </c>
      <c r="R92" s="10" t="s">
        <v>28</v>
      </c>
      <c r="S92" s="10" t="s">
        <v>53</v>
      </c>
      <c r="T92" s="11">
        <v>8</v>
      </c>
      <c r="U92" s="11">
        <v>585</v>
      </c>
      <c r="V92" s="11">
        <v>8</v>
      </c>
      <c r="W92" s="12">
        <v>85.676000000000002</v>
      </c>
      <c r="X92" s="13" t="s">
        <v>64</v>
      </c>
      <c r="Y92" s="13">
        <v>1.219382</v>
      </c>
      <c r="Z92" s="13">
        <v>121.94</v>
      </c>
      <c r="AA92" s="14" t="s">
        <v>47</v>
      </c>
      <c r="AB92" s="14" t="s">
        <v>32</v>
      </c>
      <c r="AC92" s="15">
        <v>990.07849999999996</v>
      </c>
    </row>
    <row r="93" spans="1:29" x14ac:dyDescent="0.35">
      <c r="A93" s="5" t="s">
        <v>157</v>
      </c>
      <c r="B93" s="5" t="s">
        <v>145</v>
      </c>
      <c r="C93" s="6">
        <v>62.112000000000002</v>
      </c>
      <c r="D93" s="5">
        <v>90</v>
      </c>
      <c r="E93" s="5">
        <v>916</v>
      </c>
      <c r="F93" s="6">
        <v>1935.2067999999999</v>
      </c>
      <c r="G93" s="5" t="s">
        <v>55</v>
      </c>
      <c r="H93" s="7">
        <v>98</v>
      </c>
      <c r="I93" s="7" t="str">
        <f>IF(Table2_1[[#This Row],[Stock levels]]&gt;=71,"OverStocked",IF(Table2_1[[#This Row],[Stock levels]]&gt;=51,"Optimal Stock",IF(Table2_1[[#This Row],[Stock levels]]&gt;=21,"Low stocked","Critical Stock")))</f>
        <v>OverStocked</v>
      </c>
      <c r="J93" s="7">
        <v>22</v>
      </c>
      <c r="K93" s="7" t="str">
        <f>IF(Table2_1[[#This Row],[Lead times]]&gt;=20,"High",IF(Table2_1[[#This Row],[Lead times]]&gt;=10,"Medium","Low"))</f>
        <v>High</v>
      </c>
      <c r="L93" s="7">
        <f>IFERROR(Table2_1[[#This Row],[Order quantities]]/Table2_1[[#This Row],[Stock levels]],0)</f>
        <v>0.86734693877551017</v>
      </c>
      <c r="M93" s="7" t="str">
        <f>IF(Table2_1[[#This Row],[Inventory Movement Index]]&gt;=2,"Fast Moving",IF(Table2_1[[#This Row],[Inventory Movement Index]]&gt;=1,"Normal","Slow Moving"))</f>
        <v>Slow Moving</v>
      </c>
      <c r="N93" s="7">
        <v>85</v>
      </c>
      <c r="O93" s="7">
        <v>7</v>
      </c>
      <c r="P93" s="8" t="s">
        <v>27</v>
      </c>
      <c r="Q93" s="9">
        <v>7.4714999999999998</v>
      </c>
      <c r="R93" s="10" t="s">
        <v>52</v>
      </c>
      <c r="S93" s="10" t="s">
        <v>50</v>
      </c>
      <c r="T93" s="11">
        <v>5</v>
      </c>
      <c r="U93" s="11">
        <v>207</v>
      </c>
      <c r="V93" s="11">
        <v>28</v>
      </c>
      <c r="W93" s="12">
        <v>39.7729</v>
      </c>
      <c r="X93" s="13" t="s">
        <v>30</v>
      </c>
      <c r="Y93" s="13">
        <v>0.62600199999999995</v>
      </c>
      <c r="Z93" s="13">
        <v>62.6</v>
      </c>
      <c r="AA93" s="14" t="s">
        <v>47</v>
      </c>
      <c r="AB93" s="14" t="s">
        <v>32</v>
      </c>
      <c r="AC93" s="15">
        <v>996.77829999999994</v>
      </c>
    </row>
    <row r="94" spans="1:29" x14ac:dyDescent="0.35">
      <c r="A94" s="5" t="s">
        <v>157</v>
      </c>
      <c r="B94" s="5" t="s">
        <v>146</v>
      </c>
      <c r="C94" s="6">
        <v>47.714199999999998</v>
      </c>
      <c r="D94" s="5">
        <v>44</v>
      </c>
      <c r="E94" s="5">
        <v>276</v>
      </c>
      <c r="F94" s="6">
        <v>2100.1298000000002</v>
      </c>
      <c r="G94" s="5" t="s">
        <v>55</v>
      </c>
      <c r="H94" s="7">
        <v>90</v>
      </c>
      <c r="I94" s="7" t="str">
        <f>IF(Table2_1[[#This Row],[Stock levels]]&gt;=71,"OverStocked",IF(Table2_1[[#This Row],[Stock levels]]&gt;=51,"Optimal Stock",IF(Table2_1[[#This Row],[Stock levels]]&gt;=21,"Low stocked","Critical Stock")))</f>
        <v>OverStocked</v>
      </c>
      <c r="J94" s="7">
        <v>25</v>
      </c>
      <c r="K94" s="7" t="str">
        <f>IF(Table2_1[[#This Row],[Lead times]]&gt;=20,"High",IF(Table2_1[[#This Row],[Lead times]]&gt;=10,"Medium","Low"))</f>
        <v>High</v>
      </c>
      <c r="L94" s="7">
        <f>IFERROR(Table2_1[[#This Row],[Order quantities]]/Table2_1[[#This Row],[Stock levels]],0)</f>
        <v>0.1111111111111111</v>
      </c>
      <c r="M94" s="7" t="str">
        <f>IF(Table2_1[[#This Row],[Inventory Movement Index]]&gt;=2,"Fast Moving",IF(Table2_1[[#This Row],[Inventory Movement Index]]&gt;=1,"Normal","Slow Moving"))</f>
        <v>Slow Moving</v>
      </c>
      <c r="N94" s="7">
        <v>10</v>
      </c>
      <c r="O94" s="7">
        <v>8</v>
      </c>
      <c r="P94" s="8" t="s">
        <v>27</v>
      </c>
      <c r="Q94" s="9">
        <v>4.4695</v>
      </c>
      <c r="R94" s="10" t="s">
        <v>61</v>
      </c>
      <c r="S94" s="10" t="s">
        <v>29</v>
      </c>
      <c r="T94" s="11">
        <v>4</v>
      </c>
      <c r="U94" s="11">
        <v>671</v>
      </c>
      <c r="V94" s="11">
        <v>29</v>
      </c>
      <c r="W94" s="12">
        <v>62.612699999999997</v>
      </c>
      <c r="X94" s="13" t="s">
        <v>64</v>
      </c>
      <c r="Y94" s="13">
        <v>0.33343200000000001</v>
      </c>
      <c r="Z94" s="13">
        <v>33.340000000000003</v>
      </c>
      <c r="AA94" s="14" t="s">
        <v>47</v>
      </c>
      <c r="AB94" s="14" t="s">
        <v>32</v>
      </c>
      <c r="AC94" s="15">
        <v>230.09280000000001</v>
      </c>
    </row>
    <row r="95" spans="1:29" x14ac:dyDescent="0.35">
      <c r="A95" s="5" t="s">
        <v>155</v>
      </c>
      <c r="B95" s="5" t="s">
        <v>147</v>
      </c>
      <c r="C95" s="6">
        <v>69.290800000000004</v>
      </c>
      <c r="D95" s="5">
        <v>88</v>
      </c>
      <c r="E95" s="5">
        <v>114</v>
      </c>
      <c r="F95" s="6">
        <v>4531.4021000000002</v>
      </c>
      <c r="G95" s="5" t="s">
        <v>38</v>
      </c>
      <c r="H95" s="7">
        <v>63</v>
      </c>
      <c r="I95" s="7" t="str">
        <f>IF(Table2_1[[#This Row],[Stock levels]]&gt;=71,"OverStocked",IF(Table2_1[[#This Row],[Stock levels]]&gt;=51,"Optimal Stock",IF(Table2_1[[#This Row],[Stock levels]]&gt;=21,"Low stocked","Critical Stock")))</f>
        <v>Optimal Stock</v>
      </c>
      <c r="J95" s="7">
        <v>17</v>
      </c>
      <c r="K95" s="7" t="str">
        <f>IF(Table2_1[[#This Row],[Lead times]]&gt;=20,"High",IF(Table2_1[[#This Row],[Lead times]]&gt;=10,"Medium","Low"))</f>
        <v>Medium</v>
      </c>
      <c r="L95" s="7">
        <f>IFERROR(Table2_1[[#This Row],[Order quantities]]/Table2_1[[#This Row],[Stock levels]],0)</f>
        <v>1.0476190476190477</v>
      </c>
      <c r="M95" s="7" t="str">
        <f>IF(Table2_1[[#This Row],[Inventory Movement Index]]&gt;=2,"Fast Moving",IF(Table2_1[[#This Row],[Inventory Movement Index]]&gt;=1,"Normal","Slow Moving"))</f>
        <v>Normal</v>
      </c>
      <c r="N95" s="7">
        <v>66</v>
      </c>
      <c r="O95" s="7">
        <v>1</v>
      </c>
      <c r="P95" s="8" t="s">
        <v>43</v>
      </c>
      <c r="Q95" s="9">
        <v>7.0064000000000002</v>
      </c>
      <c r="R95" s="10" t="s">
        <v>52</v>
      </c>
      <c r="S95" s="10" t="s">
        <v>62</v>
      </c>
      <c r="T95" s="11">
        <v>21</v>
      </c>
      <c r="U95" s="11">
        <v>824</v>
      </c>
      <c r="V95" s="11">
        <v>20</v>
      </c>
      <c r="W95" s="12">
        <v>35.633699999999997</v>
      </c>
      <c r="X95" s="13" t="s">
        <v>46</v>
      </c>
      <c r="Y95" s="13">
        <v>4.1657820000000001</v>
      </c>
      <c r="Z95" s="13">
        <v>416.58</v>
      </c>
      <c r="AA95" s="14" t="s">
        <v>40</v>
      </c>
      <c r="AB95" s="14" t="s">
        <v>48</v>
      </c>
      <c r="AC95" s="15">
        <v>823.52380000000005</v>
      </c>
    </row>
    <row r="96" spans="1:29" x14ac:dyDescent="0.35">
      <c r="A96" s="5" t="s">
        <v>157</v>
      </c>
      <c r="B96" s="5" t="s">
        <v>148</v>
      </c>
      <c r="C96" s="6">
        <v>3.0377000000000001</v>
      </c>
      <c r="D96" s="5">
        <v>97</v>
      </c>
      <c r="E96" s="5">
        <v>987</v>
      </c>
      <c r="F96" s="6">
        <v>7888.3564999999999</v>
      </c>
      <c r="G96" s="5" t="s">
        <v>38</v>
      </c>
      <c r="H96" s="7">
        <v>77</v>
      </c>
      <c r="I96" s="7" t="str">
        <f>IF(Table2_1[[#This Row],[Stock levels]]&gt;=71,"OverStocked",IF(Table2_1[[#This Row],[Stock levels]]&gt;=51,"Optimal Stock",IF(Table2_1[[#This Row],[Stock levels]]&gt;=21,"Low stocked","Critical Stock")))</f>
        <v>OverStocked</v>
      </c>
      <c r="J96" s="7">
        <v>26</v>
      </c>
      <c r="K96" s="7" t="str">
        <f>IF(Table2_1[[#This Row],[Lead times]]&gt;=20,"High",IF(Table2_1[[#This Row],[Lead times]]&gt;=10,"Medium","Low"))</f>
        <v>High</v>
      </c>
      <c r="L96" s="7">
        <f>IFERROR(Table2_1[[#This Row],[Order quantities]]/Table2_1[[#This Row],[Stock levels]],0)</f>
        <v>0.93506493506493504</v>
      </c>
      <c r="M96" s="7" t="str">
        <f>IF(Table2_1[[#This Row],[Inventory Movement Index]]&gt;=2,"Fast Moving",IF(Table2_1[[#This Row],[Inventory Movement Index]]&gt;=1,"Normal","Slow Moving"))</f>
        <v>Slow Moving</v>
      </c>
      <c r="N96" s="7">
        <v>72</v>
      </c>
      <c r="O96" s="7">
        <v>9</v>
      </c>
      <c r="P96" s="8" t="s">
        <v>27</v>
      </c>
      <c r="Q96" s="9">
        <v>6.9428999999999998</v>
      </c>
      <c r="R96" s="10" t="s">
        <v>61</v>
      </c>
      <c r="S96" s="10" t="s">
        <v>50</v>
      </c>
      <c r="T96" s="11">
        <v>12</v>
      </c>
      <c r="U96" s="11">
        <v>908</v>
      </c>
      <c r="V96" s="11">
        <v>14</v>
      </c>
      <c r="W96" s="12">
        <v>60.3874</v>
      </c>
      <c r="X96" s="13" t="s">
        <v>64</v>
      </c>
      <c r="Y96" s="13">
        <v>1.4636070000000001</v>
      </c>
      <c r="Z96" s="13">
        <v>146.36000000000001</v>
      </c>
      <c r="AA96" s="14" t="s">
        <v>47</v>
      </c>
      <c r="AB96" s="14" t="s">
        <v>32</v>
      </c>
      <c r="AC96" s="15">
        <v>846.6653</v>
      </c>
    </row>
    <row r="97" spans="1:29" x14ac:dyDescent="0.35">
      <c r="A97" s="5" t="s">
        <v>155</v>
      </c>
      <c r="B97" s="5" t="s">
        <v>149</v>
      </c>
      <c r="C97" s="6">
        <v>77.903899999999993</v>
      </c>
      <c r="D97" s="5">
        <v>65</v>
      </c>
      <c r="E97" s="5">
        <v>672</v>
      </c>
      <c r="F97" s="6">
        <v>7386.3639000000003</v>
      </c>
      <c r="G97" s="5" t="s">
        <v>38</v>
      </c>
      <c r="H97" s="7">
        <v>15</v>
      </c>
      <c r="I97" s="7" t="str">
        <f>IF(Table2_1[[#This Row],[Stock levels]]&gt;=71,"OverStocked",IF(Table2_1[[#This Row],[Stock levels]]&gt;=51,"Optimal Stock",IF(Table2_1[[#This Row],[Stock levels]]&gt;=21,"Low stocked","Critical Stock")))</f>
        <v>Critical Stock</v>
      </c>
      <c r="J97" s="7">
        <v>14</v>
      </c>
      <c r="K97" s="7" t="str">
        <f>IF(Table2_1[[#This Row],[Lead times]]&gt;=20,"High",IF(Table2_1[[#This Row],[Lead times]]&gt;=10,"Medium","Low"))</f>
        <v>Medium</v>
      </c>
      <c r="L97" s="7">
        <f>IFERROR(Table2_1[[#This Row],[Order quantities]]/Table2_1[[#This Row],[Stock levels]],0)</f>
        <v>1.7333333333333334</v>
      </c>
      <c r="M97" s="7" t="str">
        <f>IF(Table2_1[[#This Row],[Inventory Movement Index]]&gt;=2,"Fast Moving",IF(Table2_1[[#This Row],[Inventory Movement Index]]&gt;=1,"Normal","Slow Moving"))</f>
        <v>Normal</v>
      </c>
      <c r="N97" s="7">
        <v>26</v>
      </c>
      <c r="O97" s="7">
        <v>9</v>
      </c>
      <c r="P97" s="8" t="s">
        <v>27</v>
      </c>
      <c r="Q97" s="9">
        <v>8.6303000000000001</v>
      </c>
      <c r="R97" s="10" t="s">
        <v>52</v>
      </c>
      <c r="S97" s="10" t="s">
        <v>29</v>
      </c>
      <c r="T97" s="11">
        <v>18</v>
      </c>
      <c r="U97" s="11">
        <v>450</v>
      </c>
      <c r="V97" s="11">
        <v>26</v>
      </c>
      <c r="W97" s="12">
        <v>58.890700000000002</v>
      </c>
      <c r="X97" s="13" t="s">
        <v>30</v>
      </c>
      <c r="Y97" s="13">
        <v>1.210882</v>
      </c>
      <c r="Z97" s="13">
        <v>121.09</v>
      </c>
      <c r="AA97" s="14" t="s">
        <v>40</v>
      </c>
      <c r="AB97" s="14" t="s">
        <v>48</v>
      </c>
      <c r="AC97" s="15">
        <v>778.86419999999998</v>
      </c>
    </row>
    <row r="98" spans="1:29" x14ac:dyDescent="0.35">
      <c r="A98" s="5" t="s">
        <v>157</v>
      </c>
      <c r="B98" s="5" t="s">
        <v>150</v>
      </c>
      <c r="C98" s="6">
        <v>24.423100000000002</v>
      </c>
      <c r="D98" s="5">
        <v>29</v>
      </c>
      <c r="E98" s="5">
        <v>324</v>
      </c>
      <c r="F98" s="6">
        <v>7698.4247999999998</v>
      </c>
      <c r="G98" s="5" t="s">
        <v>26</v>
      </c>
      <c r="H98" s="7">
        <v>67</v>
      </c>
      <c r="I98" s="7" t="str">
        <f>IF(Table2_1[[#This Row],[Stock levels]]&gt;=71,"OverStocked",IF(Table2_1[[#This Row],[Stock levels]]&gt;=51,"Optimal Stock",IF(Table2_1[[#This Row],[Stock levels]]&gt;=21,"Low stocked","Critical Stock")))</f>
        <v>Optimal Stock</v>
      </c>
      <c r="J98" s="7">
        <v>2</v>
      </c>
      <c r="K98" s="7" t="str">
        <f>IF(Table2_1[[#This Row],[Lead times]]&gt;=20,"High",IF(Table2_1[[#This Row],[Lead times]]&gt;=10,"Medium","Low"))</f>
        <v>Low</v>
      </c>
      <c r="L98" s="7">
        <f>IFERROR(Table2_1[[#This Row],[Order quantities]]/Table2_1[[#This Row],[Stock levels]],0)</f>
        <v>0.47761194029850745</v>
      </c>
      <c r="M98" s="7" t="str">
        <f>IF(Table2_1[[#This Row],[Inventory Movement Index]]&gt;=2,"Fast Moving",IF(Table2_1[[#This Row],[Inventory Movement Index]]&gt;=1,"Normal","Slow Moving"))</f>
        <v>Slow Moving</v>
      </c>
      <c r="N98" s="7">
        <v>32</v>
      </c>
      <c r="O98" s="7">
        <v>3</v>
      </c>
      <c r="P98" s="8" t="s">
        <v>43</v>
      </c>
      <c r="Q98" s="9">
        <v>5.3529</v>
      </c>
      <c r="R98" s="10" t="s">
        <v>28</v>
      </c>
      <c r="S98" s="10" t="s">
        <v>29</v>
      </c>
      <c r="T98" s="11">
        <v>28</v>
      </c>
      <c r="U98" s="11">
        <v>648</v>
      </c>
      <c r="V98" s="11">
        <v>28</v>
      </c>
      <c r="W98" s="12">
        <v>17.803799999999999</v>
      </c>
      <c r="X98" s="13" t="s">
        <v>30</v>
      </c>
      <c r="Y98" s="13">
        <v>3.8720479999999999</v>
      </c>
      <c r="Z98" s="13">
        <v>387.2</v>
      </c>
      <c r="AA98" s="14" t="s">
        <v>31</v>
      </c>
      <c r="AB98" s="14" t="s">
        <v>48</v>
      </c>
      <c r="AC98" s="15">
        <v>188.74209999999999</v>
      </c>
    </row>
    <row r="99" spans="1:29" x14ac:dyDescent="0.35">
      <c r="A99" s="5" t="s">
        <v>155</v>
      </c>
      <c r="B99" s="5" t="s">
        <v>151</v>
      </c>
      <c r="C99" s="6">
        <v>3.5261</v>
      </c>
      <c r="D99" s="5">
        <v>56</v>
      </c>
      <c r="E99" s="5">
        <v>62</v>
      </c>
      <c r="F99" s="6">
        <v>4370.9165999999996</v>
      </c>
      <c r="G99" s="5" t="s">
        <v>55</v>
      </c>
      <c r="H99" s="7">
        <v>46</v>
      </c>
      <c r="I99" s="7" t="str">
        <f>IF(Table2_1[[#This Row],[Stock levels]]&gt;=71,"OverStocked",IF(Table2_1[[#This Row],[Stock levels]]&gt;=51,"Optimal Stock",IF(Table2_1[[#This Row],[Stock levels]]&gt;=21,"Low stocked","Critical Stock")))</f>
        <v>Low stocked</v>
      </c>
      <c r="J99" s="7">
        <v>19</v>
      </c>
      <c r="K99" s="7" t="str">
        <f>IF(Table2_1[[#This Row],[Lead times]]&gt;=20,"High",IF(Table2_1[[#This Row],[Lead times]]&gt;=10,"Medium","Low"))</f>
        <v>Medium</v>
      </c>
      <c r="L99" s="7">
        <f>IFERROR(Table2_1[[#This Row],[Order quantities]]/Table2_1[[#This Row],[Stock levels]],0)</f>
        <v>8.6956521739130432E-2</v>
      </c>
      <c r="M99" s="7" t="str">
        <f>IF(Table2_1[[#This Row],[Inventory Movement Index]]&gt;=2,"Fast Moving",IF(Table2_1[[#This Row],[Inventory Movement Index]]&gt;=1,"Normal","Slow Moving"))</f>
        <v>Slow Moving</v>
      </c>
      <c r="N99" s="7">
        <v>4</v>
      </c>
      <c r="O99" s="7">
        <v>9</v>
      </c>
      <c r="P99" s="8" t="s">
        <v>36</v>
      </c>
      <c r="Q99" s="9">
        <v>7.9047999999999998</v>
      </c>
      <c r="R99" s="10" t="s">
        <v>52</v>
      </c>
      <c r="S99" s="10" t="s">
        <v>29</v>
      </c>
      <c r="T99" s="11">
        <v>10</v>
      </c>
      <c r="U99" s="11">
        <v>535</v>
      </c>
      <c r="V99" s="11">
        <v>13</v>
      </c>
      <c r="W99" s="12">
        <v>65.765199999999993</v>
      </c>
      <c r="X99" s="13" t="s">
        <v>46</v>
      </c>
      <c r="Y99" s="13">
        <v>3.3762379999999999</v>
      </c>
      <c r="Z99" s="13">
        <v>337.62</v>
      </c>
      <c r="AA99" s="14" t="s">
        <v>31</v>
      </c>
      <c r="AB99" s="14" t="s">
        <v>48</v>
      </c>
      <c r="AC99" s="15">
        <v>540.13239999999996</v>
      </c>
    </row>
    <row r="100" spans="1:29" x14ac:dyDescent="0.35">
      <c r="A100" s="5" t="s">
        <v>156</v>
      </c>
      <c r="B100" s="5" t="s">
        <v>152</v>
      </c>
      <c r="C100" s="6">
        <v>19.7546</v>
      </c>
      <c r="D100" s="5">
        <v>43</v>
      </c>
      <c r="E100" s="5">
        <v>913</v>
      </c>
      <c r="F100" s="6">
        <v>8525.9526000000005</v>
      </c>
      <c r="G100" s="5" t="s">
        <v>35</v>
      </c>
      <c r="H100" s="7">
        <v>53</v>
      </c>
      <c r="I100" s="7" t="str">
        <f>IF(Table2_1[[#This Row],[Stock levels]]&gt;=71,"OverStocked",IF(Table2_1[[#This Row],[Stock levels]]&gt;=51,"Optimal Stock",IF(Table2_1[[#This Row],[Stock levels]]&gt;=21,"Low stocked","Critical Stock")))</f>
        <v>Optimal Stock</v>
      </c>
      <c r="J100" s="7">
        <v>1</v>
      </c>
      <c r="K100" s="7" t="str">
        <f>IF(Table2_1[[#This Row],[Lead times]]&gt;=20,"High",IF(Table2_1[[#This Row],[Lead times]]&gt;=10,"Medium","Low"))</f>
        <v>Low</v>
      </c>
      <c r="L100" s="7">
        <f>IFERROR(Table2_1[[#This Row],[Order quantities]]/Table2_1[[#This Row],[Stock levels]],0)</f>
        <v>0.50943396226415094</v>
      </c>
      <c r="M100" s="7" t="str">
        <f>IF(Table2_1[[#This Row],[Inventory Movement Index]]&gt;=2,"Fast Moving",IF(Table2_1[[#This Row],[Inventory Movement Index]]&gt;=1,"Normal","Slow Moving"))</f>
        <v>Slow Moving</v>
      </c>
      <c r="N100" s="7">
        <v>27</v>
      </c>
      <c r="O100" s="7">
        <v>7</v>
      </c>
      <c r="P100" s="8" t="s">
        <v>27</v>
      </c>
      <c r="Q100" s="9">
        <v>1.4097999999999999</v>
      </c>
      <c r="R100" s="10" t="s">
        <v>44</v>
      </c>
      <c r="S100" s="10" t="s">
        <v>62</v>
      </c>
      <c r="T100" s="11">
        <v>28</v>
      </c>
      <c r="U100" s="11">
        <v>581</v>
      </c>
      <c r="V100" s="11">
        <v>9</v>
      </c>
      <c r="W100" s="12">
        <v>5.6047000000000002</v>
      </c>
      <c r="X100" s="13" t="s">
        <v>30</v>
      </c>
      <c r="Y100" s="13">
        <v>2.9081220000000001</v>
      </c>
      <c r="Z100" s="13">
        <v>290.81</v>
      </c>
      <c r="AA100" s="14" t="s">
        <v>47</v>
      </c>
      <c r="AB100" s="14" t="s">
        <v>48</v>
      </c>
      <c r="AC100" s="15">
        <v>882.19889999999998</v>
      </c>
    </row>
    <row r="101" spans="1:29" x14ac:dyDescent="0.35">
      <c r="A101" s="5" t="s">
        <v>155</v>
      </c>
      <c r="B101" s="5" t="s">
        <v>153</v>
      </c>
      <c r="C101" s="6">
        <v>68.517799999999994</v>
      </c>
      <c r="D101" s="5">
        <v>17</v>
      </c>
      <c r="E101" s="5">
        <v>627</v>
      </c>
      <c r="F101" s="6">
        <v>9185.1857999999993</v>
      </c>
      <c r="G101" s="5" t="s">
        <v>38</v>
      </c>
      <c r="H101" s="7">
        <v>55</v>
      </c>
      <c r="I101" s="7" t="str">
        <f>IF(Table2_1[[#This Row],[Stock levels]]&gt;=71,"OverStocked",IF(Table2_1[[#This Row],[Stock levels]]&gt;=51,"Optimal Stock",IF(Table2_1[[#This Row],[Stock levels]]&gt;=21,"Low stocked","Critical Stock")))</f>
        <v>Optimal Stock</v>
      </c>
      <c r="J101" s="7">
        <v>8</v>
      </c>
      <c r="K101" s="7" t="str">
        <f>IF(Table2_1[[#This Row],[Lead times]]&gt;=20,"High",IF(Table2_1[[#This Row],[Lead times]]&gt;=10,"Medium","Low"))</f>
        <v>Low</v>
      </c>
      <c r="L101" s="7">
        <f>IFERROR(Table2_1[[#This Row],[Order quantities]]/Table2_1[[#This Row],[Stock levels]],0)</f>
        <v>1.0727272727272728</v>
      </c>
      <c r="M101" s="7" t="str">
        <f>IF(Table2_1[[#This Row],[Inventory Movement Index]]&gt;=2,"Fast Moving",IF(Table2_1[[#This Row],[Inventory Movement Index]]&gt;=1,"Normal","Slow Moving"))</f>
        <v>Normal</v>
      </c>
      <c r="N101" s="7">
        <v>59</v>
      </c>
      <c r="O101" s="7">
        <v>6</v>
      </c>
      <c r="P101" s="8" t="s">
        <v>27</v>
      </c>
      <c r="Q101" s="9">
        <v>1.3109999999999999</v>
      </c>
      <c r="R101" s="10" t="s">
        <v>61</v>
      </c>
      <c r="S101" s="10" t="s">
        <v>62</v>
      </c>
      <c r="T101" s="11">
        <v>29</v>
      </c>
      <c r="U101" s="11">
        <v>921</v>
      </c>
      <c r="V101" s="11">
        <v>2</v>
      </c>
      <c r="W101" s="12">
        <v>38.072899999999997</v>
      </c>
      <c r="X101" s="13" t="s">
        <v>46</v>
      </c>
      <c r="Y101" s="13">
        <v>0.34602699999999997</v>
      </c>
      <c r="Z101" s="13">
        <v>34.6</v>
      </c>
      <c r="AA101" s="14" t="s">
        <v>47</v>
      </c>
      <c r="AB101" s="14" t="s">
        <v>32</v>
      </c>
      <c r="AC101" s="15">
        <v>210.74299999999999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5DF28-B11D-4342-9800-95C8A0425778}">
  <dimension ref="A2:S142"/>
  <sheetViews>
    <sheetView topLeftCell="M117" workbookViewId="0">
      <selection activeCell="R42" sqref="R42"/>
    </sheetView>
  </sheetViews>
  <sheetFormatPr defaultRowHeight="14.5" x14ac:dyDescent="0.35"/>
  <cols>
    <col min="1" max="1" width="12.453125" bestFit="1" customWidth="1"/>
    <col min="2" max="2" width="14.08984375" bestFit="1" customWidth="1"/>
    <col min="3" max="3" width="23.26953125" bestFit="1" customWidth="1"/>
    <col min="4" max="4" width="12.453125" bestFit="1" customWidth="1"/>
    <col min="5" max="5" width="14.08984375" bestFit="1" customWidth="1"/>
    <col min="10" max="10" width="23.26953125" bestFit="1" customWidth="1"/>
    <col min="11" max="11" width="12.7265625" customWidth="1"/>
    <col min="12" max="13" width="23.26953125" bestFit="1" customWidth="1"/>
    <col min="14" max="14" width="12.453125" bestFit="1" customWidth="1"/>
    <col min="15" max="15" width="16.453125" bestFit="1" customWidth="1"/>
    <col min="16" max="16" width="12.453125" bestFit="1" customWidth="1"/>
    <col min="17" max="17" width="27.81640625" bestFit="1" customWidth="1"/>
    <col min="18" max="18" width="16.453125" bestFit="1" customWidth="1"/>
    <col min="19" max="19" width="23.54296875" bestFit="1" customWidth="1"/>
  </cols>
  <sheetData>
    <row r="2" spans="1:17" x14ac:dyDescent="0.35">
      <c r="F2" s="3" t="s">
        <v>158</v>
      </c>
      <c r="G2" t="s">
        <v>167</v>
      </c>
    </row>
    <row r="3" spans="1:17" x14ac:dyDescent="0.35">
      <c r="A3" s="3" t="s">
        <v>158</v>
      </c>
      <c r="B3" t="s">
        <v>169</v>
      </c>
      <c r="C3" t="s">
        <v>160</v>
      </c>
      <c r="D3" t="s">
        <v>166</v>
      </c>
      <c r="F3" s="4" t="s">
        <v>157</v>
      </c>
      <c r="G3">
        <v>1332</v>
      </c>
      <c r="J3" s="3" t="s">
        <v>158</v>
      </c>
      <c r="K3" t="s">
        <v>169</v>
      </c>
      <c r="L3" t="s">
        <v>166</v>
      </c>
      <c r="M3" t="s">
        <v>160</v>
      </c>
    </row>
    <row r="4" spans="1:17" x14ac:dyDescent="0.35">
      <c r="A4" s="4" t="s">
        <v>156</v>
      </c>
      <c r="B4" s="2">
        <v>47.259325000000004</v>
      </c>
      <c r="C4" s="2">
        <v>241628.16240000003</v>
      </c>
      <c r="D4">
        <v>20731</v>
      </c>
      <c r="F4" s="4" t="s">
        <v>155</v>
      </c>
      <c r="G4">
        <v>1471</v>
      </c>
      <c r="J4" s="4" t="s">
        <v>105</v>
      </c>
      <c r="K4" s="2">
        <v>26.700800000000001</v>
      </c>
      <c r="L4">
        <v>154</v>
      </c>
      <c r="M4" s="2">
        <v>9866.4655000000002</v>
      </c>
    </row>
    <row r="5" spans="1:17" x14ac:dyDescent="0.35">
      <c r="A5" s="4" t="s">
        <v>155</v>
      </c>
      <c r="B5" s="2">
        <v>46.014270588235291</v>
      </c>
      <c r="C5" s="2">
        <v>174455.39070000005</v>
      </c>
      <c r="D5">
        <v>13611</v>
      </c>
      <c r="F5" s="4" t="s">
        <v>156</v>
      </c>
      <c r="G5">
        <v>2037</v>
      </c>
      <c r="J5" s="4" t="s">
        <v>92</v>
      </c>
      <c r="K5" s="2">
        <v>52.075899999999997</v>
      </c>
      <c r="L5">
        <v>705</v>
      </c>
      <c r="M5" s="2">
        <v>9692.3179999999993</v>
      </c>
    </row>
    <row r="6" spans="1:17" x14ac:dyDescent="0.35">
      <c r="A6" s="4" t="s">
        <v>157</v>
      </c>
      <c r="B6" s="2">
        <v>57.361057692307696</v>
      </c>
      <c r="C6" s="2">
        <v>161521.26589999997</v>
      </c>
      <c r="D6">
        <v>11757</v>
      </c>
      <c r="F6" s="4" t="s">
        <v>159</v>
      </c>
      <c r="G6">
        <v>4840</v>
      </c>
      <c r="J6" s="4" t="s">
        <v>85</v>
      </c>
      <c r="K6" s="2">
        <v>50.8474</v>
      </c>
      <c r="L6">
        <v>168</v>
      </c>
      <c r="M6" s="2">
        <v>9655.1350999999995</v>
      </c>
    </row>
    <row r="7" spans="1:17" x14ac:dyDescent="0.35">
      <c r="A7" s="4" t="s">
        <v>159</v>
      </c>
      <c r="B7" s="2">
        <v>49.462457000000015</v>
      </c>
      <c r="C7" s="2">
        <v>577604.81900000002</v>
      </c>
      <c r="D7">
        <v>46099</v>
      </c>
      <c r="J7" s="4" t="s">
        <v>144</v>
      </c>
      <c r="K7" s="2">
        <v>13.8819</v>
      </c>
      <c r="L7">
        <v>320</v>
      </c>
      <c r="M7" s="2">
        <v>9592.6335999999992</v>
      </c>
    </row>
    <row r="8" spans="1:17" x14ac:dyDescent="0.35">
      <c r="J8" s="4" t="s">
        <v>37</v>
      </c>
      <c r="K8" s="2">
        <v>11.319699999999999</v>
      </c>
      <c r="L8">
        <v>8</v>
      </c>
      <c r="M8" s="2">
        <v>9577.7495999999992</v>
      </c>
    </row>
    <row r="9" spans="1:17" x14ac:dyDescent="0.35">
      <c r="A9" s="3" t="s">
        <v>158</v>
      </c>
      <c r="B9" t="s">
        <v>166</v>
      </c>
      <c r="J9" s="4" t="s">
        <v>86</v>
      </c>
      <c r="K9" s="2">
        <v>79.209900000000005</v>
      </c>
      <c r="L9">
        <v>781</v>
      </c>
      <c r="M9" s="2">
        <v>9571.5504999999994</v>
      </c>
    </row>
    <row r="10" spans="1:17" x14ac:dyDescent="0.35">
      <c r="A10" s="4" t="s">
        <v>156</v>
      </c>
      <c r="B10">
        <v>20731</v>
      </c>
      <c r="D10" s="3" t="s">
        <v>158</v>
      </c>
      <c r="E10" t="s">
        <v>169</v>
      </c>
      <c r="J10" s="4" t="s">
        <v>121</v>
      </c>
      <c r="K10" s="2">
        <v>87.755399999999995</v>
      </c>
      <c r="L10">
        <v>513</v>
      </c>
      <c r="M10" s="2">
        <v>9473.7980000000007</v>
      </c>
    </row>
    <row r="11" spans="1:17" ht="15" thickBot="1" x14ac:dyDescent="0.4">
      <c r="A11" s="4" t="s">
        <v>155</v>
      </c>
      <c r="B11">
        <v>13611</v>
      </c>
      <c r="D11" s="4" t="s">
        <v>35</v>
      </c>
      <c r="E11" s="2">
        <v>43.517259999999993</v>
      </c>
      <c r="J11" s="4" t="s">
        <v>142</v>
      </c>
      <c r="K11" s="2">
        <v>75.270399999999995</v>
      </c>
      <c r="L11">
        <v>737</v>
      </c>
      <c r="M11" s="2">
        <v>9444.7420000000002</v>
      </c>
    </row>
    <row r="12" spans="1:17" x14ac:dyDescent="0.35">
      <c r="A12" s="4" t="s">
        <v>157</v>
      </c>
      <c r="B12">
        <v>11757</v>
      </c>
      <c r="D12" s="4" t="s">
        <v>55</v>
      </c>
      <c r="E12" s="2">
        <v>49.545766666666665</v>
      </c>
      <c r="J12" s="4" t="s">
        <v>106</v>
      </c>
      <c r="K12" s="2">
        <v>98.031800000000004</v>
      </c>
      <c r="L12">
        <v>820</v>
      </c>
      <c r="M12" s="2">
        <v>9435.7626</v>
      </c>
      <c r="O12" s="17"/>
      <c r="P12" s="17" t="s">
        <v>170</v>
      </c>
      <c r="Q12" s="17" t="s">
        <v>171</v>
      </c>
    </row>
    <row r="13" spans="1:17" x14ac:dyDescent="0.35">
      <c r="A13" s="4" t="s">
        <v>159</v>
      </c>
      <c r="B13">
        <v>46099</v>
      </c>
      <c r="D13" s="4" t="s">
        <v>26</v>
      </c>
      <c r="E13" s="2">
        <v>46.50063913043477</v>
      </c>
      <c r="J13" s="4" t="s">
        <v>72</v>
      </c>
      <c r="K13" s="2">
        <v>36.443600000000004</v>
      </c>
      <c r="L13">
        <v>620</v>
      </c>
      <c r="M13" s="2">
        <v>9364.6735000000008</v>
      </c>
      <c r="O13" t="s">
        <v>170</v>
      </c>
      <c r="P13">
        <v>1</v>
      </c>
    </row>
    <row r="14" spans="1:17" ht="15" thickBot="1" x14ac:dyDescent="0.4">
      <c r="D14" s="4" t="s">
        <v>38</v>
      </c>
      <c r="E14" s="2">
        <v>56.398012903225812</v>
      </c>
      <c r="J14" s="4" t="s">
        <v>153</v>
      </c>
      <c r="K14" s="2">
        <v>68.517799999999994</v>
      </c>
      <c r="L14">
        <v>627</v>
      </c>
      <c r="M14" s="2">
        <v>9185.1857999999993</v>
      </c>
      <c r="O14" s="16" t="s">
        <v>171</v>
      </c>
      <c r="P14" s="16">
        <v>0.99820924423173973</v>
      </c>
      <c r="Q14" s="16">
        <v>1</v>
      </c>
    </row>
    <row r="15" spans="1:17" x14ac:dyDescent="0.35">
      <c r="D15" s="4" t="s">
        <v>159</v>
      </c>
      <c r="E15" s="2">
        <v>49.462456999999986</v>
      </c>
      <c r="J15" s="4" t="s">
        <v>88</v>
      </c>
      <c r="K15" s="2">
        <v>37.467599999999997</v>
      </c>
      <c r="L15">
        <v>602</v>
      </c>
      <c r="M15" s="2">
        <v>9061.7109</v>
      </c>
    </row>
    <row r="16" spans="1:17" x14ac:dyDescent="0.35">
      <c r="J16" s="4" t="s">
        <v>78</v>
      </c>
      <c r="K16" s="2">
        <v>4.1562999999999999</v>
      </c>
      <c r="L16">
        <v>209</v>
      </c>
      <c r="M16" s="2">
        <v>9049.0779000000002</v>
      </c>
    </row>
    <row r="17" spans="1:16" x14ac:dyDescent="0.35">
      <c r="A17" s="3" t="s">
        <v>158</v>
      </c>
      <c r="B17" t="s">
        <v>160</v>
      </c>
      <c r="C17" t="s">
        <v>166</v>
      </c>
      <c r="D17" s="3" t="s">
        <v>166</v>
      </c>
      <c r="E17" s="3" t="s">
        <v>168</v>
      </c>
      <c r="J17" s="4" t="s">
        <v>114</v>
      </c>
      <c r="K17" s="2">
        <v>17.027999999999999</v>
      </c>
      <c r="L17">
        <v>380</v>
      </c>
      <c r="M17" s="2">
        <v>8864.0843999999997</v>
      </c>
      <c r="N17" s="3" t="s">
        <v>158</v>
      </c>
      <c r="O17" t="s">
        <v>167</v>
      </c>
      <c r="P17" t="s">
        <v>166</v>
      </c>
    </row>
    <row r="18" spans="1:16" x14ac:dyDescent="0.35">
      <c r="A18" s="4" t="s">
        <v>113</v>
      </c>
      <c r="B18" s="2">
        <v>1061.6185</v>
      </c>
      <c r="C18">
        <v>484</v>
      </c>
      <c r="D18" s="3" t="s">
        <v>158</v>
      </c>
      <c r="E18" t="s">
        <v>38</v>
      </c>
      <c r="F18" t="s">
        <v>35</v>
      </c>
      <c r="G18" t="s">
        <v>26</v>
      </c>
      <c r="H18" t="s">
        <v>55</v>
      </c>
      <c r="I18" t="s">
        <v>159</v>
      </c>
      <c r="J18" s="4" t="s">
        <v>77</v>
      </c>
      <c r="K18" s="2">
        <v>4.3243</v>
      </c>
      <c r="L18">
        <v>391</v>
      </c>
      <c r="M18" s="2">
        <v>8858.3675999999996</v>
      </c>
      <c r="N18" s="4" t="s">
        <v>156</v>
      </c>
      <c r="O18">
        <v>2037</v>
      </c>
      <c r="P18">
        <v>20731</v>
      </c>
    </row>
    <row r="19" spans="1:16" x14ac:dyDescent="0.35">
      <c r="A19" s="4" t="s">
        <v>140</v>
      </c>
      <c r="B19" s="2">
        <v>1229.5909999999999</v>
      </c>
      <c r="C19">
        <v>223</v>
      </c>
      <c r="D19" s="4" t="s">
        <v>156</v>
      </c>
      <c r="E19">
        <v>4814</v>
      </c>
      <c r="F19">
        <v>7853</v>
      </c>
      <c r="G19">
        <v>5153</v>
      </c>
      <c r="H19">
        <v>2911</v>
      </c>
      <c r="I19">
        <v>20731</v>
      </c>
      <c r="J19" s="4" t="s">
        <v>139</v>
      </c>
      <c r="K19" s="2">
        <v>76.962999999999994</v>
      </c>
      <c r="L19">
        <v>25</v>
      </c>
      <c r="M19" s="2">
        <v>8684.6131000000005</v>
      </c>
      <c r="N19" s="4" t="s">
        <v>155</v>
      </c>
      <c r="O19">
        <v>1471</v>
      </c>
      <c r="P19">
        <v>13611</v>
      </c>
    </row>
    <row r="20" spans="1:16" x14ac:dyDescent="0.35">
      <c r="A20" s="4" t="s">
        <v>132</v>
      </c>
      <c r="B20" s="2">
        <v>1292.4584</v>
      </c>
      <c r="C20">
        <v>946</v>
      </c>
      <c r="D20" s="4" t="s">
        <v>155</v>
      </c>
      <c r="E20">
        <v>7563</v>
      </c>
      <c r="F20">
        <v>936</v>
      </c>
      <c r="G20">
        <v>2820</v>
      </c>
      <c r="H20">
        <v>2292</v>
      </c>
      <c r="I20">
        <v>13611</v>
      </c>
      <c r="J20" s="4" t="s">
        <v>25</v>
      </c>
      <c r="K20" s="2">
        <v>69.808000000000007</v>
      </c>
      <c r="L20">
        <v>802</v>
      </c>
      <c r="M20" s="2">
        <v>8661.9968000000008</v>
      </c>
      <c r="N20" s="4" t="s">
        <v>157</v>
      </c>
      <c r="O20">
        <v>1332</v>
      </c>
      <c r="P20">
        <v>11757</v>
      </c>
    </row>
    <row r="21" spans="1:16" x14ac:dyDescent="0.35">
      <c r="A21" s="4" t="s">
        <v>111</v>
      </c>
      <c r="B21" s="2">
        <v>1605.8669</v>
      </c>
      <c r="C21">
        <v>227</v>
      </c>
      <c r="D21" s="4" t="s">
        <v>157</v>
      </c>
      <c r="E21">
        <v>2834</v>
      </c>
      <c r="F21">
        <v>4012</v>
      </c>
      <c r="G21">
        <v>2607</v>
      </c>
      <c r="H21">
        <v>2304</v>
      </c>
      <c r="I21">
        <v>11757</v>
      </c>
      <c r="J21" s="4" t="s">
        <v>68</v>
      </c>
      <c r="K21" s="2">
        <v>99.171300000000002</v>
      </c>
      <c r="L21">
        <v>562</v>
      </c>
      <c r="M21" s="2">
        <v>8653.5709000000006</v>
      </c>
      <c r="N21" s="4" t="s">
        <v>159</v>
      </c>
      <c r="O21">
        <v>4840</v>
      </c>
      <c r="P21">
        <v>46099</v>
      </c>
    </row>
    <row r="22" spans="1:16" x14ac:dyDescent="0.35">
      <c r="A22" s="4" t="s">
        <v>123</v>
      </c>
      <c r="B22" s="2">
        <v>1752.3811000000001</v>
      </c>
      <c r="C22">
        <v>511</v>
      </c>
      <c r="D22" s="4" t="s">
        <v>159</v>
      </c>
      <c r="E22">
        <v>15211</v>
      </c>
      <c r="F22">
        <v>12801</v>
      </c>
      <c r="G22">
        <v>10580</v>
      </c>
      <c r="H22">
        <v>7507</v>
      </c>
      <c r="I22">
        <v>46099</v>
      </c>
      <c r="J22" s="4" t="s">
        <v>134</v>
      </c>
      <c r="K22" s="2">
        <v>91.128299999999996</v>
      </c>
      <c r="L22">
        <v>872</v>
      </c>
      <c r="M22" s="2">
        <v>8651.6726999999992</v>
      </c>
    </row>
    <row r="23" spans="1:16" x14ac:dyDescent="0.35">
      <c r="A23" s="4" t="s">
        <v>96</v>
      </c>
      <c r="B23" s="2">
        <v>1839.6094000000001</v>
      </c>
      <c r="C23">
        <v>155</v>
      </c>
      <c r="J23" s="4" t="s">
        <v>152</v>
      </c>
      <c r="K23" s="2">
        <v>19.7546</v>
      </c>
      <c r="L23">
        <v>913</v>
      </c>
      <c r="M23" s="2">
        <v>8525.9526000000005</v>
      </c>
    </row>
    <row r="24" spans="1:16" x14ac:dyDescent="0.35">
      <c r="A24" s="4" t="s">
        <v>129</v>
      </c>
      <c r="B24" s="2">
        <v>1889.0735999999999</v>
      </c>
      <c r="C24">
        <v>106</v>
      </c>
      <c r="J24" s="4" t="s">
        <v>58</v>
      </c>
      <c r="K24" s="2">
        <v>42.958399999999997</v>
      </c>
      <c r="L24">
        <v>426</v>
      </c>
      <c r="M24" s="2">
        <v>8496.1038000000008</v>
      </c>
    </row>
    <row r="25" spans="1:16" x14ac:dyDescent="0.35">
      <c r="A25" s="4" t="s">
        <v>93</v>
      </c>
      <c r="B25" s="2">
        <v>1912.4657</v>
      </c>
      <c r="C25">
        <v>176</v>
      </c>
      <c r="J25" s="4" t="s">
        <v>118</v>
      </c>
      <c r="K25" s="2">
        <v>89.634100000000004</v>
      </c>
      <c r="L25">
        <v>134</v>
      </c>
      <c r="M25" s="2">
        <v>8458.7309000000005</v>
      </c>
    </row>
    <row r="26" spans="1:16" ht="15" thickBot="1" x14ac:dyDescent="0.4">
      <c r="A26" s="4" t="s">
        <v>145</v>
      </c>
      <c r="B26" s="2">
        <v>1935.2067999999999</v>
      </c>
      <c r="C26">
        <v>916</v>
      </c>
      <c r="J26" s="4" t="s">
        <v>120</v>
      </c>
      <c r="K26" s="2">
        <v>26.0349</v>
      </c>
      <c r="L26">
        <v>704</v>
      </c>
      <c r="M26" s="2">
        <v>8367.7216000000008</v>
      </c>
    </row>
    <row r="27" spans="1:16" x14ac:dyDescent="0.35">
      <c r="A27" s="4" t="s">
        <v>112</v>
      </c>
      <c r="B27" s="2">
        <v>2021.1497999999999</v>
      </c>
      <c r="C27">
        <v>896</v>
      </c>
      <c r="J27" s="4" t="s">
        <v>119</v>
      </c>
      <c r="K27" s="2">
        <v>33.697699999999998</v>
      </c>
      <c r="L27">
        <v>457</v>
      </c>
      <c r="M27" s="2">
        <v>8354.5797000000002</v>
      </c>
      <c r="N27" s="17"/>
      <c r="O27" s="17" t="s">
        <v>170</v>
      </c>
      <c r="P27" s="17" t="s">
        <v>171</v>
      </c>
    </row>
    <row r="28" spans="1:16" x14ac:dyDescent="0.35">
      <c r="A28" s="4" t="s">
        <v>138</v>
      </c>
      <c r="B28" s="2">
        <v>2048.2901000000002</v>
      </c>
      <c r="C28">
        <v>618</v>
      </c>
      <c r="J28" s="4" t="s">
        <v>83</v>
      </c>
      <c r="K28" s="2">
        <v>63.447600000000001</v>
      </c>
      <c r="L28">
        <v>253</v>
      </c>
      <c r="M28" s="2">
        <v>8318.9032000000007</v>
      </c>
      <c r="N28" t="s">
        <v>170</v>
      </c>
      <c r="O28">
        <v>1</v>
      </c>
    </row>
    <row r="29" spans="1:16" ht="15" thickBot="1" x14ac:dyDescent="0.4">
      <c r="A29" s="4" t="s">
        <v>146</v>
      </c>
      <c r="B29" s="2">
        <v>2100.1298000000002</v>
      </c>
      <c r="C29">
        <v>276</v>
      </c>
      <c r="J29" s="4" t="s">
        <v>107</v>
      </c>
      <c r="K29" s="2">
        <v>30.3415</v>
      </c>
      <c r="L29">
        <v>242</v>
      </c>
      <c r="M29" s="2">
        <v>8232.3348000000005</v>
      </c>
      <c r="N29" s="16" t="s">
        <v>171</v>
      </c>
      <c r="O29" s="16">
        <v>5.7394643731473729E-3</v>
      </c>
      <c r="P29" s="16">
        <v>1</v>
      </c>
    </row>
    <row r="30" spans="1:16" x14ac:dyDescent="0.35">
      <c r="A30" s="4" t="s">
        <v>79</v>
      </c>
      <c r="B30" s="2">
        <v>2174.7770999999998</v>
      </c>
      <c r="C30">
        <v>142</v>
      </c>
      <c r="J30" s="4" t="s">
        <v>125</v>
      </c>
      <c r="K30" s="2">
        <v>6.3815</v>
      </c>
      <c r="L30">
        <v>637</v>
      </c>
      <c r="M30" s="2">
        <v>8180.3370999999997</v>
      </c>
    </row>
    <row r="31" spans="1:16" x14ac:dyDescent="0.35">
      <c r="A31" s="4" t="s">
        <v>63</v>
      </c>
      <c r="B31" s="2">
        <v>2330.9657999999999</v>
      </c>
      <c r="C31">
        <v>996</v>
      </c>
      <c r="J31" s="4" t="s">
        <v>74</v>
      </c>
      <c r="K31" s="2">
        <v>96.341099999999997</v>
      </c>
      <c r="L31">
        <v>320</v>
      </c>
      <c r="M31" s="2">
        <v>8128.0276999999996</v>
      </c>
    </row>
    <row r="32" spans="1:16" ht="15" thickBot="1" x14ac:dyDescent="0.4">
      <c r="A32" s="4" t="s">
        <v>76</v>
      </c>
      <c r="B32" s="2">
        <v>2390.8078999999998</v>
      </c>
      <c r="C32">
        <v>884</v>
      </c>
      <c r="J32" s="4" t="s">
        <v>103</v>
      </c>
      <c r="K32" s="2">
        <v>78.897900000000007</v>
      </c>
      <c r="L32">
        <v>99</v>
      </c>
      <c r="M32" s="2">
        <v>8001.6131999999998</v>
      </c>
    </row>
    <row r="33" spans="1:19" x14ac:dyDescent="0.35">
      <c r="A33" s="4" t="s">
        <v>137</v>
      </c>
      <c r="B33" s="2">
        <v>2411.7546000000002</v>
      </c>
      <c r="C33">
        <v>663</v>
      </c>
      <c r="J33" s="4" t="s">
        <v>127</v>
      </c>
      <c r="K33" s="2">
        <v>83.850999999999999</v>
      </c>
      <c r="L33">
        <v>375</v>
      </c>
      <c r="M33" s="2">
        <v>7910.8869000000004</v>
      </c>
      <c r="N33" s="17"/>
      <c r="O33" s="17" t="s">
        <v>170</v>
      </c>
      <c r="P33" s="17" t="s">
        <v>171</v>
      </c>
    </row>
    <row r="34" spans="1:19" x14ac:dyDescent="0.35">
      <c r="A34" s="4" t="s">
        <v>91</v>
      </c>
      <c r="B34" s="2">
        <v>2438.3398999999999</v>
      </c>
      <c r="C34">
        <v>963</v>
      </c>
      <c r="J34" s="4" t="s">
        <v>133</v>
      </c>
      <c r="K34" s="2">
        <v>57.057000000000002</v>
      </c>
      <c r="L34">
        <v>198</v>
      </c>
      <c r="M34" s="2">
        <v>7888.7232999999997</v>
      </c>
      <c r="N34" t="s">
        <v>170</v>
      </c>
      <c r="O34">
        <v>1</v>
      </c>
    </row>
    <row r="35" spans="1:19" ht="15" thickBot="1" x14ac:dyDescent="0.4">
      <c r="A35" s="4" t="s">
        <v>131</v>
      </c>
      <c r="B35" s="2">
        <v>2483.7602000000002</v>
      </c>
      <c r="C35">
        <v>359</v>
      </c>
      <c r="J35" s="4" t="s">
        <v>148</v>
      </c>
      <c r="K35" s="2">
        <v>3.0377000000000001</v>
      </c>
      <c r="L35">
        <v>987</v>
      </c>
      <c r="M35" s="2">
        <v>7888.3564999999999</v>
      </c>
      <c r="N35" s="16" t="s">
        <v>171</v>
      </c>
      <c r="O35" s="16">
        <v>3.8424253373553381E-2</v>
      </c>
      <c r="P35" s="16">
        <v>1</v>
      </c>
    </row>
    <row r="36" spans="1:19" x14ac:dyDescent="0.35">
      <c r="A36" s="4" t="s">
        <v>73</v>
      </c>
      <c r="B36" s="2">
        <v>2553.4956000000002</v>
      </c>
      <c r="C36">
        <v>187</v>
      </c>
      <c r="J36" s="4" t="s">
        <v>54</v>
      </c>
      <c r="K36" s="2">
        <v>4.0782999999999996</v>
      </c>
      <c r="L36">
        <v>65</v>
      </c>
      <c r="M36" s="2">
        <v>7823.4766</v>
      </c>
    </row>
    <row r="37" spans="1:19" x14ac:dyDescent="0.35">
      <c r="A37" s="4" t="s">
        <v>100</v>
      </c>
      <c r="B37" s="2">
        <v>2556.7674000000002</v>
      </c>
      <c r="C37">
        <v>859</v>
      </c>
      <c r="J37" s="4" t="s">
        <v>42</v>
      </c>
      <c r="K37" s="2">
        <v>61.1633</v>
      </c>
      <c r="L37">
        <v>83</v>
      </c>
      <c r="M37" s="2">
        <v>7766.8364000000001</v>
      </c>
    </row>
    <row r="38" spans="1:19" x14ac:dyDescent="0.35">
      <c r="A38" s="4" t="s">
        <v>71</v>
      </c>
      <c r="B38" s="2">
        <v>2629.3964000000001</v>
      </c>
      <c r="C38">
        <v>126</v>
      </c>
      <c r="J38" s="4" t="s">
        <v>150</v>
      </c>
      <c r="K38" s="2">
        <v>24.423100000000002</v>
      </c>
      <c r="L38">
        <v>324</v>
      </c>
      <c r="M38" s="2">
        <v>7698.4247999999998</v>
      </c>
    </row>
    <row r="39" spans="1:19" x14ac:dyDescent="0.35">
      <c r="A39" s="4" t="s">
        <v>126</v>
      </c>
      <c r="B39" s="2">
        <v>2633.1219999999998</v>
      </c>
      <c r="C39">
        <v>478</v>
      </c>
      <c r="J39" s="4" t="s">
        <v>90</v>
      </c>
      <c r="K39" s="2">
        <v>9.8130000000000006</v>
      </c>
      <c r="L39">
        <v>963</v>
      </c>
      <c r="M39" s="2">
        <v>7573.4025000000001</v>
      </c>
    </row>
    <row r="40" spans="1:19" x14ac:dyDescent="0.35">
      <c r="A40" s="4" t="s">
        <v>81</v>
      </c>
      <c r="B40" s="2">
        <v>2686.4571999999998</v>
      </c>
      <c r="C40">
        <v>352</v>
      </c>
      <c r="J40" s="4" t="s">
        <v>59</v>
      </c>
      <c r="K40" s="2">
        <v>68.717600000000004</v>
      </c>
      <c r="L40">
        <v>150</v>
      </c>
      <c r="M40" s="2">
        <v>7517.3631999999998</v>
      </c>
    </row>
    <row r="41" spans="1:19" x14ac:dyDescent="0.35">
      <c r="A41" s="4" t="s">
        <v>49</v>
      </c>
      <c r="B41" s="2">
        <v>2686.5052000000001</v>
      </c>
      <c r="C41">
        <v>871</v>
      </c>
      <c r="J41" s="4" t="s">
        <v>34</v>
      </c>
      <c r="K41" s="2">
        <v>14.843500000000001</v>
      </c>
      <c r="L41">
        <v>736</v>
      </c>
      <c r="M41" s="2">
        <v>7460.9000999999998</v>
      </c>
      <c r="P41" s="3" t="s">
        <v>158</v>
      </c>
      <c r="Q41" t="s">
        <v>166</v>
      </c>
      <c r="R41" t="s">
        <v>167</v>
      </c>
      <c r="S41" t="s">
        <v>173</v>
      </c>
    </row>
    <row r="42" spans="1:19" x14ac:dyDescent="0.35">
      <c r="A42" s="4" t="s">
        <v>84</v>
      </c>
      <c r="B42" s="2">
        <v>2766.3424</v>
      </c>
      <c r="C42">
        <v>327</v>
      </c>
      <c r="J42" s="4" t="s">
        <v>102</v>
      </c>
      <c r="K42" s="2">
        <v>76.035499999999999</v>
      </c>
      <c r="L42">
        <v>29</v>
      </c>
      <c r="M42" s="2">
        <v>7397.0709999999999</v>
      </c>
      <c r="P42" s="4" t="s">
        <v>99</v>
      </c>
      <c r="Q42">
        <v>24</v>
      </c>
      <c r="R42">
        <v>1</v>
      </c>
      <c r="S42" s="1">
        <v>52</v>
      </c>
    </row>
    <row r="43" spans="1:19" x14ac:dyDescent="0.35">
      <c r="A43" s="4" t="s">
        <v>51</v>
      </c>
      <c r="B43" s="2">
        <v>2828.3487</v>
      </c>
      <c r="C43">
        <v>147</v>
      </c>
      <c r="J43" s="4" t="s">
        <v>149</v>
      </c>
      <c r="K43" s="2">
        <v>77.903899999999993</v>
      </c>
      <c r="L43">
        <v>672</v>
      </c>
      <c r="M43" s="2">
        <v>7386.3639000000003</v>
      </c>
      <c r="P43" s="4" t="s">
        <v>106</v>
      </c>
      <c r="Q43">
        <v>820</v>
      </c>
      <c r="R43">
        <v>1</v>
      </c>
      <c r="S43" s="1">
        <v>11</v>
      </c>
    </row>
    <row r="44" spans="1:19" x14ac:dyDescent="0.35">
      <c r="A44" s="4" t="s">
        <v>66</v>
      </c>
      <c r="B44" s="2">
        <v>2873.7413999999999</v>
      </c>
      <c r="C44">
        <v>336</v>
      </c>
      <c r="J44" s="4" t="s">
        <v>98</v>
      </c>
      <c r="K44" s="2">
        <v>51.355800000000002</v>
      </c>
      <c r="L44">
        <v>919</v>
      </c>
      <c r="M44" s="2">
        <v>7152.2860000000001</v>
      </c>
      <c r="P44" s="4" t="s">
        <v>83</v>
      </c>
      <c r="Q44">
        <v>253</v>
      </c>
      <c r="R44">
        <v>3</v>
      </c>
      <c r="S44" s="1">
        <v>67</v>
      </c>
    </row>
    <row r="45" spans="1:19" x14ac:dyDescent="0.35">
      <c r="A45" s="4" t="s">
        <v>109</v>
      </c>
      <c r="B45" s="2">
        <v>2925.6752000000001</v>
      </c>
      <c r="C45">
        <v>701</v>
      </c>
      <c r="J45" s="4" t="s">
        <v>101</v>
      </c>
      <c r="K45" s="2">
        <v>95.712100000000007</v>
      </c>
      <c r="L45">
        <v>910</v>
      </c>
      <c r="M45" s="2">
        <v>7089.4741999999997</v>
      </c>
      <c r="P45" s="4" t="s">
        <v>91</v>
      </c>
      <c r="Q45">
        <v>963</v>
      </c>
      <c r="R45">
        <v>5</v>
      </c>
      <c r="S45" s="1">
        <v>21</v>
      </c>
    </row>
    <row r="46" spans="1:19" x14ac:dyDescent="0.35">
      <c r="A46" s="4" t="s">
        <v>136</v>
      </c>
      <c r="B46" s="2">
        <v>2943.3818999999999</v>
      </c>
      <c r="C46">
        <v>336</v>
      </c>
      <c r="J46" s="4" t="s">
        <v>75</v>
      </c>
      <c r="K46" s="2">
        <v>84.893900000000002</v>
      </c>
      <c r="L46">
        <v>601</v>
      </c>
      <c r="M46" s="2">
        <v>7087.0527000000002</v>
      </c>
      <c r="P46" s="4" t="s">
        <v>67</v>
      </c>
      <c r="Q46">
        <v>249</v>
      </c>
      <c r="R46">
        <v>5</v>
      </c>
      <c r="S46" s="1">
        <v>48</v>
      </c>
    </row>
    <row r="47" spans="1:19" x14ac:dyDescent="0.35">
      <c r="A47" s="4" t="s">
        <v>122</v>
      </c>
      <c r="B47" s="2">
        <v>3550.2184000000002</v>
      </c>
      <c r="C47">
        <v>163</v>
      </c>
      <c r="J47" s="4" t="s">
        <v>124</v>
      </c>
      <c r="K47" s="2">
        <v>47.914499999999997</v>
      </c>
      <c r="L47">
        <v>32</v>
      </c>
      <c r="M47" s="2">
        <v>7014.8879999999999</v>
      </c>
      <c r="P47" s="4" t="s">
        <v>97</v>
      </c>
      <c r="Q47">
        <v>598</v>
      </c>
      <c r="R47">
        <v>6</v>
      </c>
      <c r="S47" s="1">
        <v>85</v>
      </c>
    </row>
    <row r="48" spans="1:19" x14ac:dyDescent="0.35">
      <c r="A48" s="4" t="s">
        <v>80</v>
      </c>
      <c r="B48" s="2">
        <v>3716.4933000000001</v>
      </c>
      <c r="C48">
        <v>353</v>
      </c>
      <c r="J48" s="4" t="s">
        <v>115</v>
      </c>
      <c r="K48" s="2">
        <v>52.028799999999997</v>
      </c>
      <c r="L48">
        <v>117</v>
      </c>
      <c r="M48" s="2">
        <v>6885.5893999999998</v>
      </c>
      <c r="P48" s="4" t="s">
        <v>80</v>
      </c>
      <c r="Q48">
        <v>353</v>
      </c>
      <c r="R48">
        <v>9</v>
      </c>
      <c r="S48" s="1">
        <v>48</v>
      </c>
    </row>
    <row r="49" spans="1:19" x14ac:dyDescent="0.35">
      <c r="A49" s="4" t="s">
        <v>116</v>
      </c>
      <c r="B49" s="2">
        <v>3899.7467999999999</v>
      </c>
      <c r="C49">
        <v>270</v>
      </c>
      <c r="J49" s="4" t="s">
        <v>89</v>
      </c>
      <c r="K49" s="2">
        <v>84.957800000000006</v>
      </c>
      <c r="L49">
        <v>449</v>
      </c>
      <c r="M49" s="2">
        <v>6541.3293000000003</v>
      </c>
      <c r="P49" s="4" t="s">
        <v>135</v>
      </c>
      <c r="Q49">
        <v>774</v>
      </c>
      <c r="R49">
        <v>9</v>
      </c>
      <c r="S49" s="1">
        <v>8</v>
      </c>
    </row>
    <row r="50" spans="1:19" x14ac:dyDescent="0.35">
      <c r="A50" s="4" t="s">
        <v>67</v>
      </c>
      <c r="B50" s="2">
        <v>4052.7384000000002</v>
      </c>
      <c r="C50">
        <v>249</v>
      </c>
      <c r="J50" s="4" t="s">
        <v>70</v>
      </c>
      <c r="K50" s="2">
        <v>7.5472000000000001</v>
      </c>
      <c r="L50">
        <v>280</v>
      </c>
      <c r="M50" s="2">
        <v>6453.7979999999998</v>
      </c>
      <c r="P50" s="4" t="s">
        <v>143</v>
      </c>
      <c r="Q50">
        <v>134</v>
      </c>
      <c r="R50">
        <v>10</v>
      </c>
      <c r="S50" s="1">
        <v>27</v>
      </c>
    </row>
    <row r="51" spans="1:19" x14ac:dyDescent="0.35">
      <c r="A51" s="4" t="s">
        <v>117</v>
      </c>
      <c r="B51" s="2">
        <v>4256.9490999999998</v>
      </c>
      <c r="C51">
        <v>246</v>
      </c>
      <c r="J51" s="4" t="s">
        <v>82</v>
      </c>
      <c r="K51" s="2">
        <v>2.3973</v>
      </c>
      <c r="L51">
        <v>394</v>
      </c>
      <c r="M51" s="2">
        <v>6117.3245999999999</v>
      </c>
      <c r="P51" s="4" t="s">
        <v>84</v>
      </c>
      <c r="Q51">
        <v>327</v>
      </c>
      <c r="R51">
        <v>10</v>
      </c>
      <c r="S51" s="1">
        <v>35</v>
      </c>
    </row>
    <row r="52" spans="1:19" x14ac:dyDescent="0.35">
      <c r="A52" s="4" t="s">
        <v>151</v>
      </c>
      <c r="B52" s="2">
        <v>4370.9165999999996</v>
      </c>
      <c r="C52">
        <v>62</v>
      </c>
      <c r="J52" s="4" t="s">
        <v>65</v>
      </c>
      <c r="K52" s="2">
        <v>90.635499999999993</v>
      </c>
      <c r="L52">
        <v>960</v>
      </c>
      <c r="M52" s="2">
        <v>6099.9440999999997</v>
      </c>
      <c r="P52" s="4" t="s">
        <v>108</v>
      </c>
      <c r="Q52">
        <v>622</v>
      </c>
      <c r="R52">
        <v>11</v>
      </c>
      <c r="S52" s="1">
        <v>61</v>
      </c>
    </row>
    <row r="53" spans="1:19" x14ac:dyDescent="0.35">
      <c r="A53" s="4" t="s">
        <v>135</v>
      </c>
      <c r="B53" s="2">
        <v>4384.4134000000004</v>
      </c>
      <c r="C53">
        <v>774</v>
      </c>
      <c r="J53" s="4" t="s">
        <v>108</v>
      </c>
      <c r="K53" s="2">
        <v>31.1462</v>
      </c>
      <c r="L53">
        <v>622</v>
      </c>
      <c r="M53" s="2">
        <v>6088.0214999999998</v>
      </c>
      <c r="P53" s="4" t="s">
        <v>118</v>
      </c>
      <c r="Q53">
        <v>134</v>
      </c>
      <c r="R53">
        <v>11</v>
      </c>
      <c r="S53" s="1">
        <v>75</v>
      </c>
    </row>
    <row r="54" spans="1:19" x14ac:dyDescent="0.35">
      <c r="A54" s="4" t="s">
        <v>147</v>
      </c>
      <c r="B54" s="2">
        <v>4531.4021000000002</v>
      </c>
      <c r="C54">
        <v>114</v>
      </c>
      <c r="J54" s="4" t="s">
        <v>143</v>
      </c>
      <c r="K54" s="2">
        <v>97.760099999999994</v>
      </c>
      <c r="L54">
        <v>134</v>
      </c>
      <c r="M54" s="2">
        <v>5924.6826000000001</v>
      </c>
      <c r="P54" s="4" t="s">
        <v>89</v>
      </c>
      <c r="Q54">
        <v>449</v>
      </c>
      <c r="R54">
        <v>11</v>
      </c>
      <c r="S54" s="1">
        <v>85</v>
      </c>
    </row>
    <row r="55" spans="1:19" x14ac:dyDescent="0.35">
      <c r="A55" s="4" t="s">
        <v>110</v>
      </c>
      <c r="B55" s="2">
        <v>4767.0204999999996</v>
      </c>
      <c r="C55">
        <v>93</v>
      </c>
      <c r="J55" s="4" t="s">
        <v>104</v>
      </c>
      <c r="K55" s="2">
        <v>14.2035</v>
      </c>
      <c r="L55">
        <v>633</v>
      </c>
      <c r="M55" s="2">
        <v>5910.8854000000001</v>
      </c>
      <c r="P55" s="4" t="s">
        <v>63</v>
      </c>
      <c r="Q55">
        <v>996</v>
      </c>
      <c r="R55">
        <v>11</v>
      </c>
      <c r="S55" s="1">
        <v>80</v>
      </c>
    </row>
    <row r="56" spans="1:19" x14ac:dyDescent="0.35">
      <c r="A56" s="4" t="s">
        <v>60</v>
      </c>
      <c r="B56" s="2">
        <v>4971.1459999999997</v>
      </c>
      <c r="C56">
        <v>980</v>
      </c>
      <c r="J56" s="4" t="s">
        <v>97</v>
      </c>
      <c r="K56" s="2">
        <v>11.7433</v>
      </c>
      <c r="L56">
        <v>598</v>
      </c>
      <c r="M56" s="2">
        <v>5737.4255999999996</v>
      </c>
      <c r="P56" s="4" t="s">
        <v>82</v>
      </c>
      <c r="Q56">
        <v>394</v>
      </c>
      <c r="R56">
        <v>12</v>
      </c>
      <c r="S56" s="1">
        <v>24</v>
      </c>
    </row>
    <row r="57" spans="1:19" x14ac:dyDescent="0.35">
      <c r="A57" s="4" t="s">
        <v>141</v>
      </c>
      <c r="B57" s="2">
        <v>5133.8467000000001</v>
      </c>
      <c r="C57">
        <v>79</v>
      </c>
      <c r="J57" s="4" t="s">
        <v>94</v>
      </c>
      <c r="K57" s="2">
        <v>80.541399999999996</v>
      </c>
      <c r="L57">
        <v>933</v>
      </c>
      <c r="M57" s="2">
        <v>5724.9593999999997</v>
      </c>
      <c r="P57" s="4" t="s">
        <v>136</v>
      </c>
      <c r="Q57">
        <v>336</v>
      </c>
      <c r="R57">
        <v>13</v>
      </c>
      <c r="S57" s="1">
        <v>72</v>
      </c>
    </row>
    <row r="58" spans="1:19" x14ac:dyDescent="0.35">
      <c r="A58" s="4" t="s">
        <v>87</v>
      </c>
      <c r="B58" s="2">
        <v>5149.9984000000004</v>
      </c>
      <c r="C58">
        <v>616</v>
      </c>
      <c r="J58" s="4" t="s">
        <v>128</v>
      </c>
      <c r="K58" s="2">
        <v>3.17</v>
      </c>
      <c r="L58">
        <v>904</v>
      </c>
      <c r="M58" s="2">
        <v>5709.9453000000003</v>
      </c>
      <c r="P58" s="4" t="s">
        <v>125</v>
      </c>
      <c r="Q58">
        <v>637</v>
      </c>
      <c r="R58">
        <v>14</v>
      </c>
      <c r="S58" s="1">
        <v>26</v>
      </c>
    </row>
    <row r="59" spans="1:19" x14ac:dyDescent="0.35">
      <c r="A59" s="4" t="s">
        <v>99</v>
      </c>
      <c r="B59" s="2">
        <v>5267.9567999999999</v>
      </c>
      <c r="C59">
        <v>24</v>
      </c>
      <c r="J59" s="4" t="s">
        <v>95</v>
      </c>
      <c r="K59" s="2">
        <v>99.113299999999995</v>
      </c>
      <c r="L59">
        <v>556</v>
      </c>
      <c r="M59" s="2">
        <v>5521.2052999999996</v>
      </c>
      <c r="P59" s="4" t="s">
        <v>131</v>
      </c>
      <c r="Q59">
        <v>359</v>
      </c>
      <c r="R59">
        <v>14</v>
      </c>
      <c r="S59" s="1">
        <v>57</v>
      </c>
    </row>
    <row r="60" spans="1:19" x14ac:dyDescent="0.35">
      <c r="A60" s="4" t="s">
        <v>130</v>
      </c>
      <c r="B60" s="2">
        <v>5328.3760000000002</v>
      </c>
      <c r="C60">
        <v>241</v>
      </c>
      <c r="J60" s="4" t="s">
        <v>69</v>
      </c>
      <c r="K60" s="2">
        <v>36.989199999999997</v>
      </c>
      <c r="L60">
        <v>469</v>
      </c>
      <c r="M60" s="2">
        <v>5442.0868</v>
      </c>
      <c r="P60" s="4" t="s">
        <v>109</v>
      </c>
      <c r="Q60">
        <v>701</v>
      </c>
      <c r="R60">
        <v>16</v>
      </c>
      <c r="S60" s="1">
        <v>11</v>
      </c>
    </row>
    <row r="61" spans="1:19" x14ac:dyDescent="0.35">
      <c r="A61" s="4" t="s">
        <v>69</v>
      </c>
      <c r="B61" s="2">
        <v>5442.0868</v>
      </c>
      <c r="C61">
        <v>469</v>
      </c>
      <c r="J61" s="4" t="s">
        <v>130</v>
      </c>
      <c r="K61" s="2">
        <v>69.108800000000002</v>
      </c>
      <c r="L61">
        <v>241</v>
      </c>
      <c r="M61" s="2">
        <v>5328.3760000000002</v>
      </c>
      <c r="P61" s="4" t="s">
        <v>121</v>
      </c>
      <c r="Q61">
        <v>513</v>
      </c>
      <c r="R61">
        <v>16</v>
      </c>
      <c r="S61" s="1">
        <v>71</v>
      </c>
    </row>
    <row r="62" spans="1:19" x14ac:dyDescent="0.35">
      <c r="A62" s="4" t="s">
        <v>95</v>
      </c>
      <c r="B62" s="2">
        <v>5521.2052999999996</v>
      </c>
      <c r="C62">
        <v>556</v>
      </c>
      <c r="J62" s="4" t="s">
        <v>99</v>
      </c>
      <c r="K62" s="2">
        <v>33.784100000000002</v>
      </c>
      <c r="L62">
        <v>24</v>
      </c>
      <c r="M62" s="2">
        <v>5267.9567999999999</v>
      </c>
      <c r="P62" s="4" t="s">
        <v>114</v>
      </c>
      <c r="Q62">
        <v>380</v>
      </c>
      <c r="R62">
        <v>16</v>
      </c>
      <c r="S62" s="1">
        <v>72</v>
      </c>
    </row>
    <row r="63" spans="1:19" x14ac:dyDescent="0.35">
      <c r="A63" s="4" t="s">
        <v>128</v>
      </c>
      <c r="B63" s="2">
        <v>5709.9453000000003</v>
      </c>
      <c r="C63">
        <v>904</v>
      </c>
      <c r="J63" s="4" t="s">
        <v>87</v>
      </c>
      <c r="K63" s="2">
        <v>64.795400000000001</v>
      </c>
      <c r="L63">
        <v>616</v>
      </c>
      <c r="M63" s="2">
        <v>5149.9984000000004</v>
      </c>
      <c r="P63" s="4" t="s">
        <v>153</v>
      </c>
      <c r="Q63">
        <v>627</v>
      </c>
      <c r="R63">
        <v>17</v>
      </c>
      <c r="S63" s="1">
        <v>59</v>
      </c>
    </row>
    <row r="64" spans="1:19" x14ac:dyDescent="0.35">
      <c r="A64" s="4" t="s">
        <v>94</v>
      </c>
      <c r="B64" s="2">
        <v>5724.9593999999997</v>
      </c>
      <c r="C64">
        <v>933</v>
      </c>
      <c r="J64" s="4" t="s">
        <v>141</v>
      </c>
      <c r="K64" s="2">
        <v>80.414000000000001</v>
      </c>
      <c r="L64">
        <v>79</v>
      </c>
      <c r="M64" s="2">
        <v>5133.8467000000001</v>
      </c>
      <c r="P64" s="4" t="s">
        <v>140</v>
      </c>
      <c r="Q64">
        <v>223</v>
      </c>
      <c r="R64">
        <v>18</v>
      </c>
      <c r="S64" s="1">
        <v>22</v>
      </c>
    </row>
    <row r="65" spans="1:19" x14ac:dyDescent="0.35">
      <c r="A65" s="4" t="s">
        <v>97</v>
      </c>
      <c r="B65" s="2">
        <v>5737.4255999999996</v>
      </c>
      <c r="C65">
        <v>598</v>
      </c>
      <c r="J65" s="4" t="s">
        <v>60</v>
      </c>
      <c r="K65" s="2">
        <v>64.015699999999995</v>
      </c>
      <c r="L65">
        <v>980</v>
      </c>
      <c r="M65" s="2">
        <v>4971.1459999999997</v>
      </c>
      <c r="P65" s="4" t="s">
        <v>103</v>
      </c>
      <c r="Q65">
        <v>99</v>
      </c>
      <c r="R65">
        <v>19</v>
      </c>
      <c r="S65" s="1">
        <v>9</v>
      </c>
    </row>
    <row r="66" spans="1:19" x14ac:dyDescent="0.35">
      <c r="A66" s="4" t="s">
        <v>104</v>
      </c>
      <c r="B66" s="2">
        <v>5910.8854000000001</v>
      </c>
      <c r="C66">
        <v>633</v>
      </c>
      <c r="J66" s="4" t="s">
        <v>110</v>
      </c>
      <c r="K66" s="2">
        <v>20.9864</v>
      </c>
      <c r="L66">
        <v>93</v>
      </c>
      <c r="M66" s="2">
        <v>4767.0204999999996</v>
      </c>
      <c r="P66" s="4" t="s">
        <v>74</v>
      </c>
      <c r="Q66">
        <v>320</v>
      </c>
      <c r="R66">
        <v>22</v>
      </c>
      <c r="S66" s="1">
        <v>68</v>
      </c>
    </row>
    <row r="67" spans="1:19" x14ac:dyDescent="0.35">
      <c r="A67" s="4" t="s">
        <v>143</v>
      </c>
      <c r="B67" s="2">
        <v>5924.6826000000001</v>
      </c>
      <c r="C67">
        <v>134</v>
      </c>
      <c r="J67" s="4" t="s">
        <v>147</v>
      </c>
      <c r="K67" s="2">
        <v>69.290800000000004</v>
      </c>
      <c r="L67">
        <v>114</v>
      </c>
      <c r="M67" s="2">
        <v>4531.4021000000002</v>
      </c>
      <c r="P67" s="4" t="s">
        <v>72</v>
      </c>
      <c r="Q67">
        <v>620</v>
      </c>
      <c r="R67">
        <v>23</v>
      </c>
      <c r="S67" s="1">
        <v>46</v>
      </c>
    </row>
    <row r="68" spans="1:19" x14ac:dyDescent="0.35">
      <c r="A68" s="4" t="s">
        <v>108</v>
      </c>
      <c r="B68" s="2">
        <v>6088.0214999999998</v>
      </c>
      <c r="C68">
        <v>622</v>
      </c>
      <c r="J68" s="4" t="s">
        <v>135</v>
      </c>
      <c r="K68" s="2">
        <v>72.819199999999995</v>
      </c>
      <c r="L68">
        <v>774</v>
      </c>
      <c r="M68" s="2">
        <v>4384.4134000000004</v>
      </c>
      <c r="P68" s="4" t="s">
        <v>115</v>
      </c>
      <c r="Q68">
        <v>117</v>
      </c>
      <c r="R68">
        <v>23</v>
      </c>
      <c r="S68" s="1">
        <v>36</v>
      </c>
    </row>
    <row r="69" spans="1:19" x14ac:dyDescent="0.35">
      <c r="A69" s="4" t="s">
        <v>65</v>
      </c>
      <c r="B69" s="2">
        <v>6099.9440999999997</v>
      </c>
      <c r="C69">
        <v>960</v>
      </c>
      <c r="J69" s="4" t="s">
        <v>151</v>
      </c>
      <c r="K69" s="2">
        <v>3.5261</v>
      </c>
      <c r="L69">
        <v>62</v>
      </c>
      <c r="M69" s="2">
        <v>4370.9165999999996</v>
      </c>
      <c r="P69" s="4" t="s">
        <v>130</v>
      </c>
      <c r="Q69">
        <v>241</v>
      </c>
      <c r="R69">
        <v>23</v>
      </c>
      <c r="S69" s="1">
        <v>22</v>
      </c>
    </row>
    <row r="70" spans="1:19" x14ac:dyDescent="0.35">
      <c r="A70" s="4" t="s">
        <v>82</v>
      </c>
      <c r="B70" s="2">
        <v>6117.3245999999999</v>
      </c>
      <c r="C70">
        <v>394</v>
      </c>
      <c r="J70" s="4" t="s">
        <v>117</v>
      </c>
      <c r="K70" s="2">
        <v>13.0174</v>
      </c>
      <c r="L70">
        <v>246</v>
      </c>
      <c r="M70" s="2">
        <v>4256.9490999999998</v>
      </c>
      <c r="P70" s="4" t="s">
        <v>141</v>
      </c>
      <c r="Q70">
        <v>79</v>
      </c>
      <c r="R70">
        <v>24</v>
      </c>
      <c r="S70" s="1">
        <v>55</v>
      </c>
    </row>
    <row r="71" spans="1:19" x14ac:dyDescent="0.35">
      <c r="A71" s="4" t="s">
        <v>70</v>
      </c>
      <c r="B71" s="2">
        <v>6453.7979999999998</v>
      </c>
      <c r="C71">
        <v>280</v>
      </c>
      <c r="J71" s="4" t="s">
        <v>67</v>
      </c>
      <c r="K71" s="2">
        <v>16.160399999999999</v>
      </c>
      <c r="L71">
        <v>249</v>
      </c>
      <c r="M71" s="2">
        <v>4052.7384000000002</v>
      </c>
      <c r="P71" s="4" t="s">
        <v>49</v>
      </c>
      <c r="Q71">
        <v>871</v>
      </c>
      <c r="R71">
        <v>26</v>
      </c>
      <c r="S71" s="1">
        <v>56</v>
      </c>
    </row>
    <row r="72" spans="1:19" x14ac:dyDescent="0.35">
      <c r="A72" s="4" t="s">
        <v>89</v>
      </c>
      <c r="B72" s="2">
        <v>6541.3293000000003</v>
      </c>
      <c r="C72">
        <v>449</v>
      </c>
      <c r="J72" s="4" t="s">
        <v>116</v>
      </c>
      <c r="K72" s="2">
        <v>72.796400000000006</v>
      </c>
      <c r="L72">
        <v>270</v>
      </c>
      <c r="M72" s="2">
        <v>3899.7467999999999</v>
      </c>
      <c r="P72" s="4" t="s">
        <v>93</v>
      </c>
      <c r="Q72">
        <v>176</v>
      </c>
      <c r="R72">
        <v>26</v>
      </c>
      <c r="S72" s="1">
        <v>34</v>
      </c>
    </row>
    <row r="73" spans="1:19" x14ac:dyDescent="0.35">
      <c r="A73" s="4" t="s">
        <v>115</v>
      </c>
      <c r="B73" s="2">
        <v>6885.5893999999998</v>
      </c>
      <c r="C73">
        <v>117</v>
      </c>
      <c r="J73" s="4" t="s">
        <v>80</v>
      </c>
      <c r="K73" s="2">
        <v>97.446899999999999</v>
      </c>
      <c r="L73">
        <v>353</v>
      </c>
      <c r="M73" s="2">
        <v>3716.4933000000001</v>
      </c>
      <c r="P73" s="4" t="s">
        <v>68</v>
      </c>
      <c r="Q73">
        <v>562</v>
      </c>
      <c r="R73">
        <v>26</v>
      </c>
      <c r="S73" s="1">
        <v>78</v>
      </c>
    </row>
    <row r="74" spans="1:19" x14ac:dyDescent="0.35">
      <c r="A74" s="4" t="s">
        <v>124</v>
      </c>
      <c r="B74" s="2">
        <v>7014.8879999999999</v>
      </c>
      <c r="C74">
        <v>32</v>
      </c>
      <c r="J74" s="4" t="s">
        <v>122</v>
      </c>
      <c r="K74" s="2">
        <v>37.931800000000003</v>
      </c>
      <c r="L74">
        <v>163</v>
      </c>
      <c r="M74" s="2">
        <v>3550.2184000000002</v>
      </c>
      <c r="P74" s="4" t="s">
        <v>85</v>
      </c>
      <c r="Q74">
        <v>168</v>
      </c>
      <c r="R74">
        <v>28</v>
      </c>
      <c r="S74" s="1">
        <v>44</v>
      </c>
    </row>
    <row r="75" spans="1:19" x14ac:dyDescent="0.35">
      <c r="A75" s="4" t="s">
        <v>75</v>
      </c>
      <c r="B75" s="2">
        <v>7087.0527000000002</v>
      </c>
      <c r="C75">
        <v>601</v>
      </c>
      <c r="J75" s="4" t="s">
        <v>136</v>
      </c>
      <c r="K75" s="2">
        <v>17.0349</v>
      </c>
      <c r="L75">
        <v>336</v>
      </c>
      <c r="M75" s="2">
        <v>2943.3818999999999</v>
      </c>
      <c r="P75" s="4" t="s">
        <v>102</v>
      </c>
      <c r="Q75">
        <v>29</v>
      </c>
      <c r="R75">
        <v>28</v>
      </c>
      <c r="S75" s="1">
        <v>9</v>
      </c>
    </row>
    <row r="76" spans="1:19" x14ac:dyDescent="0.35">
      <c r="A76" s="4" t="s">
        <v>101</v>
      </c>
      <c r="B76" s="2">
        <v>7089.4741999999997</v>
      </c>
      <c r="C76">
        <v>910</v>
      </c>
      <c r="J76" s="4" t="s">
        <v>109</v>
      </c>
      <c r="K76" s="2">
        <v>79.855099999999993</v>
      </c>
      <c r="L76">
        <v>701</v>
      </c>
      <c r="M76" s="2">
        <v>2925.6752000000001</v>
      </c>
      <c r="P76" s="4" t="s">
        <v>150</v>
      </c>
      <c r="Q76">
        <v>324</v>
      </c>
      <c r="R76">
        <v>29</v>
      </c>
      <c r="S76" s="1">
        <v>32</v>
      </c>
    </row>
    <row r="77" spans="1:19" x14ac:dyDescent="0.35">
      <c r="A77" s="4" t="s">
        <v>98</v>
      </c>
      <c r="B77" s="2">
        <v>7152.2860000000001</v>
      </c>
      <c r="C77">
        <v>919</v>
      </c>
      <c r="J77" s="4" t="s">
        <v>66</v>
      </c>
      <c r="K77" s="2">
        <v>71.213399999999993</v>
      </c>
      <c r="L77">
        <v>336</v>
      </c>
      <c r="M77" s="2">
        <v>2873.7413999999999</v>
      </c>
      <c r="P77" s="4" t="s">
        <v>122</v>
      </c>
      <c r="Q77">
        <v>163</v>
      </c>
      <c r="R77">
        <v>29</v>
      </c>
      <c r="S77" s="1">
        <v>58</v>
      </c>
    </row>
    <row r="78" spans="1:19" x14ac:dyDescent="0.35">
      <c r="A78" s="4" t="s">
        <v>149</v>
      </c>
      <c r="B78" s="2">
        <v>7386.3639000000003</v>
      </c>
      <c r="C78">
        <v>672</v>
      </c>
      <c r="J78" s="4" t="s">
        <v>51</v>
      </c>
      <c r="K78" s="2">
        <v>1.7</v>
      </c>
      <c r="L78">
        <v>147</v>
      </c>
      <c r="M78" s="2">
        <v>2828.3487</v>
      </c>
      <c r="P78" s="4" t="s">
        <v>129</v>
      </c>
      <c r="Q78">
        <v>106</v>
      </c>
      <c r="R78">
        <v>29</v>
      </c>
      <c r="S78" s="1">
        <v>56</v>
      </c>
    </row>
    <row r="79" spans="1:19" x14ac:dyDescent="0.35">
      <c r="A79" s="4" t="s">
        <v>102</v>
      </c>
      <c r="B79" s="2">
        <v>7397.0709999999999</v>
      </c>
      <c r="C79">
        <v>29</v>
      </c>
      <c r="J79" s="4" t="s">
        <v>84</v>
      </c>
      <c r="K79" s="2">
        <v>8.0228999999999999</v>
      </c>
      <c r="L79">
        <v>327</v>
      </c>
      <c r="M79" s="2">
        <v>2766.3424</v>
      </c>
      <c r="P79" s="4" t="s">
        <v>113</v>
      </c>
      <c r="Q79">
        <v>484</v>
      </c>
      <c r="R79">
        <v>30</v>
      </c>
      <c r="S79" s="1">
        <v>26</v>
      </c>
    </row>
    <row r="80" spans="1:19" x14ac:dyDescent="0.35">
      <c r="A80" s="4" t="s">
        <v>34</v>
      </c>
      <c r="B80" s="2">
        <v>7460.9000999999998</v>
      </c>
      <c r="C80">
        <v>736</v>
      </c>
      <c r="J80" s="4" t="s">
        <v>49</v>
      </c>
      <c r="K80" s="2">
        <v>4.8055000000000003</v>
      </c>
      <c r="L80">
        <v>871</v>
      </c>
      <c r="M80" s="2">
        <v>2686.5052000000001</v>
      </c>
      <c r="P80" s="4" t="s">
        <v>77</v>
      </c>
      <c r="Q80">
        <v>391</v>
      </c>
      <c r="R80">
        <v>30</v>
      </c>
      <c r="S80" s="1">
        <v>29</v>
      </c>
    </row>
    <row r="81" spans="1:19" x14ac:dyDescent="0.35">
      <c r="A81" s="4" t="s">
        <v>59</v>
      </c>
      <c r="B81" s="2">
        <v>7517.3631999999998</v>
      </c>
      <c r="C81">
        <v>150</v>
      </c>
      <c r="J81" s="4" t="s">
        <v>81</v>
      </c>
      <c r="K81" s="2">
        <v>92.557400000000001</v>
      </c>
      <c r="L81">
        <v>352</v>
      </c>
      <c r="M81" s="2">
        <v>2686.4571999999998</v>
      </c>
      <c r="P81" s="4" t="s">
        <v>78</v>
      </c>
      <c r="Q81">
        <v>209</v>
      </c>
      <c r="R81">
        <v>32</v>
      </c>
      <c r="S81" s="1">
        <v>2</v>
      </c>
    </row>
    <row r="82" spans="1:19" x14ac:dyDescent="0.35">
      <c r="A82" s="4" t="s">
        <v>90</v>
      </c>
      <c r="B82" s="2">
        <v>7573.4025000000001</v>
      </c>
      <c r="C82">
        <v>963</v>
      </c>
      <c r="J82" s="4" t="s">
        <v>126</v>
      </c>
      <c r="K82" s="2">
        <v>90.204400000000007</v>
      </c>
      <c r="L82">
        <v>478</v>
      </c>
      <c r="M82" s="2">
        <v>2633.1219999999998</v>
      </c>
      <c r="P82" s="4" t="s">
        <v>37</v>
      </c>
      <c r="Q82">
        <v>8</v>
      </c>
      <c r="R82">
        <v>34</v>
      </c>
      <c r="S82" s="1">
        <v>88</v>
      </c>
    </row>
    <row r="83" spans="1:19" x14ac:dyDescent="0.35">
      <c r="A83" s="4" t="s">
        <v>150</v>
      </c>
      <c r="B83" s="2">
        <v>7698.4247999999998</v>
      </c>
      <c r="C83">
        <v>324</v>
      </c>
      <c r="J83" s="4" t="s">
        <v>71</v>
      </c>
      <c r="K83" s="2">
        <v>81.462500000000006</v>
      </c>
      <c r="L83">
        <v>126</v>
      </c>
      <c r="M83" s="2">
        <v>2629.3964000000001</v>
      </c>
      <c r="P83" s="4" t="s">
        <v>90</v>
      </c>
      <c r="Q83">
        <v>963</v>
      </c>
      <c r="R83">
        <v>34</v>
      </c>
      <c r="S83" s="1">
        <v>28</v>
      </c>
    </row>
    <row r="84" spans="1:19" x14ac:dyDescent="0.35">
      <c r="A84" s="4" t="s">
        <v>42</v>
      </c>
      <c r="B84" s="2">
        <v>7766.8364000000001</v>
      </c>
      <c r="C84">
        <v>83</v>
      </c>
      <c r="J84" s="4" t="s">
        <v>100</v>
      </c>
      <c r="K84" s="2">
        <v>27.0822</v>
      </c>
      <c r="L84">
        <v>859</v>
      </c>
      <c r="M84" s="2">
        <v>2556.7674000000002</v>
      </c>
      <c r="P84" s="4" t="s">
        <v>98</v>
      </c>
      <c r="Q84">
        <v>919</v>
      </c>
      <c r="R84">
        <v>34</v>
      </c>
      <c r="S84" s="1">
        <v>72</v>
      </c>
    </row>
    <row r="85" spans="1:19" x14ac:dyDescent="0.35">
      <c r="A85" s="4" t="s">
        <v>54</v>
      </c>
      <c r="B85" s="2">
        <v>7823.4766</v>
      </c>
      <c r="C85">
        <v>65</v>
      </c>
      <c r="J85" s="4" t="s">
        <v>73</v>
      </c>
      <c r="K85" s="2">
        <v>51.123899999999999</v>
      </c>
      <c r="L85">
        <v>187</v>
      </c>
      <c r="M85" s="2">
        <v>2553.4956000000002</v>
      </c>
      <c r="P85" s="4" t="s">
        <v>95</v>
      </c>
      <c r="Q85">
        <v>556</v>
      </c>
      <c r="R85">
        <v>35</v>
      </c>
      <c r="S85" s="1">
        <v>38</v>
      </c>
    </row>
    <row r="86" spans="1:19" x14ac:dyDescent="0.35">
      <c r="A86" s="4" t="s">
        <v>148</v>
      </c>
      <c r="B86" s="2">
        <v>7888.3564999999999</v>
      </c>
      <c r="C86">
        <v>987</v>
      </c>
      <c r="J86" s="4" t="s">
        <v>131</v>
      </c>
      <c r="K86" s="2">
        <v>57.4497</v>
      </c>
      <c r="L86">
        <v>359</v>
      </c>
      <c r="M86" s="2">
        <v>2483.7602000000002</v>
      </c>
      <c r="P86" s="4" t="s">
        <v>60</v>
      </c>
      <c r="Q86">
        <v>980</v>
      </c>
      <c r="R86">
        <v>35</v>
      </c>
      <c r="S86" s="1">
        <v>83</v>
      </c>
    </row>
    <row r="87" spans="1:19" x14ac:dyDescent="0.35">
      <c r="A87" s="4" t="s">
        <v>133</v>
      </c>
      <c r="B87" s="2">
        <v>7888.7232999999997</v>
      </c>
      <c r="C87">
        <v>198</v>
      </c>
      <c r="J87" s="4" t="s">
        <v>91</v>
      </c>
      <c r="K87" s="2">
        <v>23.399799999999999</v>
      </c>
      <c r="L87">
        <v>963</v>
      </c>
      <c r="M87" s="2">
        <v>2438.3398999999999</v>
      </c>
      <c r="P87" s="4" t="s">
        <v>127</v>
      </c>
      <c r="Q87">
        <v>375</v>
      </c>
      <c r="R87">
        <v>41</v>
      </c>
      <c r="S87" s="1">
        <v>66</v>
      </c>
    </row>
    <row r="88" spans="1:19" x14ac:dyDescent="0.35">
      <c r="A88" s="4" t="s">
        <v>127</v>
      </c>
      <c r="B88" s="2">
        <v>7910.8869000000004</v>
      </c>
      <c r="C88">
        <v>375</v>
      </c>
      <c r="J88" s="4" t="s">
        <v>137</v>
      </c>
      <c r="K88" s="2">
        <v>68.911199999999994</v>
      </c>
      <c r="L88">
        <v>663</v>
      </c>
      <c r="M88" s="2">
        <v>2411.7546000000002</v>
      </c>
      <c r="P88" s="4" t="s">
        <v>66</v>
      </c>
      <c r="Q88">
        <v>336</v>
      </c>
      <c r="R88">
        <v>41</v>
      </c>
      <c r="S88" s="1">
        <v>85</v>
      </c>
    </row>
    <row r="89" spans="1:19" x14ac:dyDescent="0.35">
      <c r="A89" s="4" t="s">
        <v>103</v>
      </c>
      <c r="B89" s="2">
        <v>8001.6131999999998</v>
      </c>
      <c r="C89">
        <v>99</v>
      </c>
      <c r="J89" s="4" t="s">
        <v>76</v>
      </c>
      <c r="K89" s="2">
        <v>27.6798</v>
      </c>
      <c r="L89">
        <v>884</v>
      </c>
      <c r="M89" s="2">
        <v>2390.8078999999998</v>
      </c>
      <c r="P89" s="4" t="s">
        <v>81</v>
      </c>
      <c r="Q89">
        <v>352</v>
      </c>
      <c r="R89">
        <v>42</v>
      </c>
      <c r="S89" s="1">
        <v>62</v>
      </c>
    </row>
    <row r="90" spans="1:19" x14ac:dyDescent="0.35">
      <c r="A90" s="4" t="s">
        <v>74</v>
      </c>
      <c r="B90" s="2">
        <v>8128.0276999999996</v>
      </c>
      <c r="C90">
        <v>320</v>
      </c>
      <c r="J90" s="4" t="s">
        <v>63</v>
      </c>
      <c r="K90" s="2">
        <v>15.707800000000001</v>
      </c>
      <c r="L90">
        <v>996</v>
      </c>
      <c r="M90" s="2">
        <v>2330.9657999999999</v>
      </c>
      <c r="P90" s="4" t="s">
        <v>152</v>
      </c>
      <c r="Q90">
        <v>913</v>
      </c>
      <c r="R90">
        <v>43</v>
      </c>
      <c r="S90" s="1">
        <v>27</v>
      </c>
    </row>
    <row r="91" spans="1:19" x14ac:dyDescent="0.35">
      <c r="A91" s="4" t="s">
        <v>125</v>
      </c>
      <c r="B91" s="2">
        <v>8180.3370999999997</v>
      </c>
      <c r="C91">
        <v>637</v>
      </c>
      <c r="J91" s="4" t="s">
        <v>79</v>
      </c>
      <c r="K91" s="2">
        <v>39.629300000000001</v>
      </c>
      <c r="L91">
        <v>142</v>
      </c>
      <c r="M91" s="2">
        <v>2174.7770999999998</v>
      </c>
      <c r="P91" s="4" t="s">
        <v>86</v>
      </c>
      <c r="Q91">
        <v>781</v>
      </c>
      <c r="R91">
        <v>43</v>
      </c>
      <c r="S91" s="1">
        <v>64</v>
      </c>
    </row>
    <row r="92" spans="1:19" x14ac:dyDescent="0.35">
      <c r="A92" s="4" t="s">
        <v>107</v>
      </c>
      <c r="B92" s="2">
        <v>8232.3348000000005</v>
      </c>
      <c r="C92">
        <v>242</v>
      </c>
      <c r="J92" s="4" t="s">
        <v>146</v>
      </c>
      <c r="K92" s="2">
        <v>47.714199999999998</v>
      </c>
      <c r="L92">
        <v>276</v>
      </c>
      <c r="M92" s="2">
        <v>2100.1298000000002</v>
      </c>
      <c r="P92" s="4" t="s">
        <v>146</v>
      </c>
      <c r="Q92">
        <v>276</v>
      </c>
      <c r="R92">
        <v>44</v>
      </c>
      <c r="S92" s="1">
        <v>10</v>
      </c>
    </row>
    <row r="93" spans="1:19" x14ac:dyDescent="0.35">
      <c r="A93" s="4" t="s">
        <v>83</v>
      </c>
      <c r="B93" s="2">
        <v>8318.9032000000007</v>
      </c>
      <c r="C93">
        <v>253</v>
      </c>
      <c r="J93" s="4" t="s">
        <v>138</v>
      </c>
      <c r="K93" s="2">
        <v>89.104399999999998</v>
      </c>
      <c r="L93">
        <v>618</v>
      </c>
      <c r="M93" s="2">
        <v>2048.2901000000002</v>
      </c>
      <c r="P93" s="4" t="s">
        <v>54</v>
      </c>
      <c r="Q93">
        <v>65</v>
      </c>
      <c r="R93">
        <v>48</v>
      </c>
      <c r="S93" s="1">
        <v>58</v>
      </c>
    </row>
    <row r="94" spans="1:19" x14ac:dyDescent="0.35">
      <c r="A94" s="4" t="s">
        <v>119</v>
      </c>
      <c r="B94" s="2">
        <v>8354.5797000000002</v>
      </c>
      <c r="C94">
        <v>457</v>
      </c>
      <c r="J94" s="4" t="s">
        <v>112</v>
      </c>
      <c r="K94" s="2">
        <v>59.8416</v>
      </c>
      <c r="L94">
        <v>896</v>
      </c>
      <c r="M94" s="2">
        <v>2021.1497999999999</v>
      </c>
      <c r="P94" s="4" t="s">
        <v>132</v>
      </c>
      <c r="Q94">
        <v>946</v>
      </c>
      <c r="R94">
        <v>50</v>
      </c>
      <c r="S94" s="1">
        <v>51</v>
      </c>
    </row>
    <row r="95" spans="1:19" x14ac:dyDescent="0.35">
      <c r="A95" s="4" t="s">
        <v>120</v>
      </c>
      <c r="B95" s="2">
        <v>8367.7216000000008</v>
      </c>
      <c r="C95">
        <v>704</v>
      </c>
      <c r="J95" s="4" t="s">
        <v>145</v>
      </c>
      <c r="K95" s="2">
        <v>62.112000000000002</v>
      </c>
      <c r="L95">
        <v>916</v>
      </c>
      <c r="M95" s="2">
        <v>1935.2067999999999</v>
      </c>
      <c r="P95" s="4" t="s">
        <v>120</v>
      </c>
      <c r="Q95">
        <v>704</v>
      </c>
      <c r="R95">
        <v>52</v>
      </c>
      <c r="S95" s="1">
        <v>19</v>
      </c>
    </row>
    <row r="96" spans="1:19" x14ac:dyDescent="0.35">
      <c r="A96" s="4" t="s">
        <v>118</v>
      </c>
      <c r="B96" s="2">
        <v>8458.7309000000005</v>
      </c>
      <c r="C96">
        <v>134</v>
      </c>
      <c r="J96" s="4" t="s">
        <v>93</v>
      </c>
      <c r="K96" s="2">
        <v>19.127500000000001</v>
      </c>
      <c r="L96">
        <v>176</v>
      </c>
      <c r="M96" s="2">
        <v>1912.4657</v>
      </c>
      <c r="P96" s="4" t="s">
        <v>117</v>
      </c>
      <c r="Q96">
        <v>246</v>
      </c>
      <c r="R96">
        <v>55</v>
      </c>
      <c r="S96" s="1">
        <v>10</v>
      </c>
    </row>
    <row r="97" spans="1:19" x14ac:dyDescent="0.35">
      <c r="A97" s="4" t="s">
        <v>58</v>
      </c>
      <c r="B97" s="2">
        <v>8496.1038000000008</v>
      </c>
      <c r="C97">
        <v>426</v>
      </c>
      <c r="J97" s="4" t="s">
        <v>129</v>
      </c>
      <c r="K97" s="2">
        <v>92.996899999999997</v>
      </c>
      <c r="L97">
        <v>106</v>
      </c>
      <c r="M97" s="2">
        <v>1889.0735999999999</v>
      </c>
      <c r="P97" s="4" t="s">
        <v>25</v>
      </c>
      <c r="Q97">
        <v>802</v>
      </c>
      <c r="R97">
        <v>55</v>
      </c>
      <c r="S97" s="1">
        <v>96</v>
      </c>
    </row>
    <row r="98" spans="1:19" x14ac:dyDescent="0.35">
      <c r="A98" s="4" t="s">
        <v>152</v>
      </c>
      <c r="B98" s="2">
        <v>8525.9526000000005</v>
      </c>
      <c r="C98">
        <v>913</v>
      </c>
      <c r="J98" s="4" t="s">
        <v>96</v>
      </c>
      <c r="K98" s="2">
        <v>46.529200000000003</v>
      </c>
      <c r="L98">
        <v>155</v>
      </c>
      <c r="M98" s="2">
        <v>1839.6094000000001</v>
      </c>
      <c r="P98" s="4" t="s">
        <v>76</v>
      </c>
      <c r="Q98">
        <v>884</v>
      </c>
      <c r="R98">
        <v>55</v>
      </c>
      <c r="S98" s="1">
        <v>63</v>
      </c>
    </row>
    <row r="99" spans="1:19" x14ac:dyDescent="0.35">
      <c r="A99" s="4" t="s">
        <v>134</v>
      </c>
      <c r="B99" s="2">
        <v>8651.6726999999992</v>
      </c>
      <c r="C99">
        <v>872</v>
      </c>
      <c r="J99" s="4" t="s">
        <v>123</v>
      </c>
      <c r="K99" s="2">
        <v>54.865499999999997</v>
      </c>
      <c r="L99">
        <v>511</v>
      </c>
      <c r="M99" s="2">
        <v>1752.3811000000001</v>
      </c>
      <c r="P99" s="4" t="s">
        <v>133</v>
      </c>
      <c r="Q99">
        <v>198</v>
      </c>
      <c r="R99">
        <v>56</v>
      </c>
      <c r="S99" s="1">
        <v>20</v>
      </c>
    </row>
    <row r="100" spans="1:19" x14ac:dyDescent="0.35">
      <c r="A100" s="4" t="s">
        <v>68</v>
      </c>
      <c r="B100" s="2">
        <v>8653.5709000000006</v>
      </c>
      <c r="C100">
        <v>562</v>
      </c>
      <c r="J100" s="4" t="s">
        <v>111</v>
      </c>
      <c r="K100" s="2">
        <v>49.263199999999998</v>
      </c>
      <c r="L100">
        <v>227</v>
      </c>
      <c r="M100" s="2">
        <v>1605.8669</v>
      </c>
      <c r="P100" s="4" t="s">
        <v>151</v>
      </c>
      <c r="Q100">
        <v>62</v>
      </c>
      <c r="R100">
        <v>56</v>
      </c>
      <c r="S100" s="1">
        <v>4</v>
      </c>
    </row>
    <row r="101" spans="1:19" x14ac:dyDescent="0.35">
      <c r="A101" s="4" t="s">
        <v>25</v>
      </c>
      <c r="B101" s="2">
        <v>8661.9968000000008</v>
      </c>
      <c r="C101">
        <v>802</v>
      </c>
      <c r="J101" s="4" t="s">
        <v>132</v>
      </c>
      <c r="K101" s="2">
        <v>6.3068999999999997</v>
      </c>
      <c r="L101">
        <v>946</v>
      </c>
      <c r="M101" s="2">
        <v>1292.4584</v>
      </c>
      <c r="P101" s="4" t="s">
        <v>144</v>
      </c>
      <c r="Q101">
        <v>320</v>
      </c>
      <c r="R101">
        <v>56</v>
      </c>
      <c r="S101" s="1">
        <v>96</v>
      </c>
    </row>
    <row r="102" spans="1:19" x14ac:dyDescent="0.35">
      <c r="A102" s="4" t="s">
        <v>139</v>
      </c>
      <c r="B102" s="2">
        <v>8684.6131000000005</v>
      </c>
      <c r="C102">
        <v>25</v>
      </c>
      <c r="J102" s="4" t="s">
        <v>140</v>
      </c>
      <c r="K102" s="2">
        <v>19.998200000000001</v>
      </c>
      <c r="L102">
        <v>223</v>
      </c>
      <c r="M102" s="2">
        <v>1229.5909999999999</v>
      </c>
      <c r="P102" s="4" t="s">
        <v>142</v>
      </c>
      <c r="Q102">
        <v>737</v>
      </c>
      <c r="R102">
        <v>58</v>
      </c>
      <c r="S102" s="1">
        <v>85</v>
      </c>
    </row>
    <row r="103" spans="1:19" x14ac:dyDescent="0.35">
      <c r="A103" s="4" t="s">
        <v>77</v>
      </c>
      <c r="B103" s="2">
        <v>8858.3675999999996</v>
      </c>
      <c r="C103">
        <v>391</v>
      </c>
      <c r="J103" s="4" t="s">
        <v>113</v>
      </c>
      <c r="K103" s="2">
        <v>63.828400000000002</v>
      </c>
      <c r="L103">
        <v>484</v>
      </c>
      <c r="M103" s="2">
        <v>1061.6185</v>
      </c>
      <c r="P103" s="4" t="s">
        <v>58</v>
      </c>
      <c r="Q103">
        <v>426</v>
      </c>
      <c r="R103">
        <v>59</v>
      </c>
      <c r="S103" s="1">
        <v>11</v>
      </c>
    </row>
    <row r="104" spans="1:19" x14ac:dyDescent="0.35">
      <c r="A104" s="4" t="s">
        <v>114</v>
      </c>
      <c r="B104" s="2">
        <v>8864.0843999999997</v>
      </c>
      <c r="C104">
        <v>380</v>
      </c>
      <c r="J104" s="4" t="s">
        <v>159</v>
      </c>
      <c r="K104" s="2">
        <v>49.462457000000015</v>
      </c>
      <c r="L104">
        <v>46099</v>
      </c>
      <c r="M104" s="2">
        <v>577604.81900000002</v>
      </c>
      <c r="P104" s="4" t="s">
        <v>75</v>
      </c>
      <c r="Q104">
        <v>601</v>
      </c>
      <c r="R104">
        <v>60</v>
      </c>
      <c r="S104" s="1">
        <v>7</v>
      </c>
    </row>
    <row r="105" spans="1:19" x14ac:dyDescent="0.35">
      <c r="A105" s="4" t="s">
        <v>78</v>
      </c>
      <c r="B105" s="2">
        <v>9049.0779000000002</v>
      </c>
      <c r="C105">
        <v>209</v>
      </c>
      <c r="P105" s="4" t="s">
        <v>105</v>
      </c>
      <c r="Q105">
        <v>154</v>
      </c>
      <c r="R105">
        <v>61</v>
      </c>
      <c r="S105" s="1">
        <v>52</v>
      </c>
    </row>
    <row r="106" spans="1:19" x14ac:dyDescent="0.35">
      <c r="A106" s="4" t="s">
        <v>88</v>
      </c>
      <c r="B106" s="2">
        <v>9061.7109</v>
      </c>
      <c r="C106">
        <v>602</v>
      </c>
      <c r="P106" s="4" t="s">
        <v>123</v>
      </c>
      <c r="Q106">
        <v>511</v>
      </c>
      <c r="R106">
        <v>62</v>
      </c>
      <c r="S106" s="1">
        <v>27</v>
      </c>
    </row>
    <row r="107" spans="1:19" x14ac:dyDescent="0.35">
      <c r="A107" s="4" t="s">
        <v>153</v>
      </c>
      <c r="B107" s="2">
        <v>9185.1857999999993</v>
      </c>
      <c r="C107">
        <v>627</v>
      </c>
      <c r="P107" s="4" t="s">
        <v>87</v>
      </c>
      <c r="Q107">
        <v>616</v>
      </c>
      <c r="R107">
        <v>63</v>
      </c>
      <c r="S107" s="1">
        <v>95</v>
      </c>
    </row>
    <row r="108" spans="1:19" x14ac:dyDescent="0.35">
      <c r="A108" s="4" t="s">
        <v>72</v>
      </c>
      <c r="B108" s="2">
        <v>9364.6735000000008</v>
      </c>
      <c r="C108">
        <v>620</v>
      </c>
      <c r="P108" s="4" t="s">
        <v>128</v>
      </c>
      <c r="Q108">
        <v>904</v>
      </c>
      <c r="R108">
        <v>64</v>
      </c>
      <c r="S108" s="1">
        <v>1</v>
      </c>
    </row>
    <row r="109" spans="1:19" x14ac:dyDescent="0.35">
      <c r="A109" s="4" t="s">
        <v>106</v>
      </c>
      <c r="B109" s="2">
        <v>9435.7626</v>
      </c>
      <c r="C109">
        <v>820</v>
      </c>
      <c r="P109" s="4" t="s">
        <v>111</v>
      </c>
      <c r="Q109">
        <v>227</v>
      </c>
      <c r="R109">
        <v>65</v>
      </c>
      <c r="S109" s="1">
        <v>51</v>
      </c>
    </row>
    <row r="110" spans="1:19" x14ac:dyDescent="0.35">
      <c r="A110" s="4" t="s">
        <v>142</v>
      </c>
      <c r="B110" s="2">
        <v>9444.7420000000002</v>
      </c>
      <c r="C110">
        <v>737</v>
      </c>
      <c r="P110" s="4" t="s">
        <v>149</v>
      </c>
      <c r="Q110">
        <v>672</v>
      </c>
      <c r="R110">
        <v>65</v>
      </c>
      <c r="S110" s="1">
        <v>26</v>
      </c>
    </row>
    <row r="111" spans="1:19" x14ac:dyDescent="0.35">
      <c r="A111" s="4" t="s">
        <v>121</v>
      </c>
      <c r="B111" s="2">
        <v>9473.7980000000007</v>
      </c>
      <c r="C111">
        <v>513</v>
      </c>
      <c r="P111" s="4" t="s">
        <v>42</v>
      </c>
      <c r="Q111">
        <v>83</v>
      </c>
      <c r="R111">
        <v>68</v>
      </c>
      <c r="S111" s="1">
        <v>59</v>
      </c>
    </row>
    <row r="112" spans="1:19" x14ac:dyDescent="0.35">
      <c r="A112" s="4" t="s">
        <v>86</v>
      </c>
      <c r="B112" s="2">
        <v>9571.5504999999994</v>
      </c>
      <c r="C112">
        <v>781</v>
      </c>
      <c r="P112" s="4" t="s">
        <v>119</v>
      </c>
      <c r="Q112">
        <v>457</v>
      </c>
      <c r="R112">
        <v>72</v>
      </c>
      <c r="S112" s="1">
        <v>54</v>
      </c>
    </row>
    <row r="113" spans="1:19" x14ac:dyDescent="0.35">
      <c r="A113" s="4" t="s">
        <v>37</v>
      </c>
      <c r="B113" s="2">
        <v>9577.7495999999992</v>
      </c>
      <c r="C113">
        <v>8</v>
      </c>
      <c r="P113" s="4" t="s">
        <v>79</v>
      </c>
      <c r="Q113">
        <v>142</v>
      </c>
      <c r="R113">
        <v>73</v>
      </c>
      <c r="S113" s="1">
        <v>52</v>
      </c>
    </row>
    <row r="114" spans="1:19" x14ac:dyDescent="0.35">
      <c r="A114" s="4" t="s">
        <v>144</v>
      </c>
      <c r="B114" s="2">
        <v>9592.6335999999992</v>
      </c>
      <c r="C114">
        <v>320</v>
      </c>
      <c r="P114" s="4" t="s">
        <v>70</v>
      </c>
      <c r="Q114">
        <v>280</v>
      </c>
      <c r="R114">
        <v>74</v>
      </c>
      <c r="S114" s="1">
        <v>78</v>
      </c>
    </row>
    <row r="115" spans="1:19" x14ac:dyDescent="0.35">
      <c r="A115" s="4" t="s">
        <v>85</v>
      </c>
      <c r="B115" s="2">
        <v>9655.1350999999995</v>
      </c>
      <c r="C115">
        <v>168</v>
      </c>
      <c r="P115" s="4" t="s">
        <v>134</v>
      </c>
      <c r="Q115">
        <v>872</v>
      </c>
      <c r="R115">
        <v>75</v>
      </c>
      <c r="S115" s="1">
        <v>41</v>
      </c>
    </row>
    <row r="116" spans="1:19" x14ac:dyDescent="0.35">
      <c r="A116" s="4" t="s">
        <v>92</v>
      </c>
      <c r="B116" s="2">
        <v>9692.3179999999993</v>
      </c>
      <c r="C116">
        <v>705</v>
      </c>
      <c r="P116" s="4" t="s">
        <v>92</v>
      </c>
      <c r="Q116">
        <v>705</v>
      </c>
      <c r="R116">
        <v>75</v>
      </c>
      <c r="S116" s="1">
        <v>88</v>
      </c>
    </row>
    <row r="117" spans="1:19" x14ac:dyDescent="0.35">
      <c r="A117" s="4" t="s">
        <v>105</v>
      </c>
      <c r="B117" s="2">
        <v>9866.4655000000002</v>
      </c>
      <c r="C117">
        <v>154</v>
      </c>
      <c r="P117" s="4" t="s">
        <v>100</v>
      </c>
      <c r="Q117">
        <v>859</v>
      </c>
      <c r="R117">
        <v>75</v>
      </c>
      <c r="S117" s="1">
        <v>6</v>
      </c>
    </row>
    <row r="118" spans="1:19" x14ac:dyDescent="0.35">
      <c r="A118" s="4" t="s">
        <v>159</v>
      </c>
      <c r="B118" s="2">
        <v>577604.81900000002</v>
      </c>
      <c r="C118">
        <v>46099</v>
      </c>
      <c r="P118" s="4" t="s">
        <v>59</v>
      </c>
      <c r="Q118">
        <v>150</v>
      </c>
      <c r="R118">
        <v>78</v>
      </c>
      <c r="S118" s="1">
        <v>15</v>
      </c>
    </row>
    <row r="119" spans="1:19" x14ac:dyDescent="0.35">
      <c r="P119" s="4" t="s">
        <v>112</v>
      </c>
      <c r="Q119">
        <v>896</v>
      </c>
      <c r="R119">
        <v>81</v>
      </c>
      <c r="S119" s="1">
        <v>44</v>
      </c>
    </row>
    <row r="120" spans="1:19" x14ac:dyDescent="0.35">
      <c r="P120" s="4" t="s">
        <v>71</v>
      </c>
      <c r="Q120">
        <v>126</v>
      </c>
      <c r="R120">
        <v>82</v>
      </c>
      <c r="S120" s="1">
        <v>85</v>
      </c>
    </row>
    <row r="121" spans="1:19" x14ac:dyDescent="0.35">
      <c r="P121" s="4" t="s">
        <v>137</v>
      </c>
      <c r="Q121">
        <v>663</v>
      </c>
      <c r="R121">
        <v>82</v>
      </c>
      <c r="S121" s="1">
        <v>7</v>
      </c>
    </row>
    <row r="122" spans="1:19" x14ac:dyDescent="0.35">
      <c r="P122" s="4" t="s">
        <v>139</v>
      </c>
      <c r="Q122">
        <v>25</v>
      </c>
      <c r="R122">
        <v>83</v>
      </c>
      <c r="S122" s="1">
        <v>66</v>
      </c>
    </row>
    <row r="123" spans="1:19" x14ac:dyDescent="0.35">
      <c r="P123" s="4" t="s">
        <v>51</v>
      </c>
      <c r="Q123">
        <v>147</v>
      </c>
      <c r="R123">
        <v>87</v>
      </c>
      <c r="S123" s="1">
        <v>66</v>
      </c>
    </row>
    <row r="124" spans="1:19" x14ac:dyDescent="0.35">
      <c r="P124" s="4" t="s">
        <v>147</v>
      </c>
      <c r="Q124">
        <v>114</v>
      </c>
      <c r="R124">
        <v>88</v>
      </c>
      <c r="S124" s="1">
        <v>66</v>
      </c>
    </row>
    <row r="125" spans="1:19" x14ac:dyDescent="0.35">
      <c r="P125" s="4" t="s">
        <v>126</v>
      </c>
      <c r="Q125">
        <v>478</v>
      </c>
      <c r="R125">
        <v>88</v>
      </c>
      <c r="S125" s="1">
        <v>77</v>
      </c>
    </row>
    <row r="126" spans="1:19" x14ac:dyDescent="0.35">
      <c r="P126" s="4" t="s">
        <v>116</v>
      </c>
      <c r="Q126">
        <v>270</v>
      </c>
      <c r="R126">
        <v>89</v>
      </c>
      <c r="S126" s="1">
        <v>40</v>
      </c>
    </row>
    <row r="127" spans="1:19" x14ac:dyDescent="0.35">
      <c r="P127" s="4" t="s">
        <v>110</v>
      </c>
      <c r="Q127">
        <v>93</v>
      </c>
      <c r="R127">
        <v>90</v>
      </c>
      <c r="S127" s="1">
        <v>83</v>
      </c>
    </row>
    <row r="128" spans="1:19" x14ac:dyDescent="0.35">
      <c r="P128" s="4" t="s">
        <v>145</v>
      </c>
      <c r="Q128">
        <v>916</v>
      </c>
      <c r="R128">
        <v>90</v>
      </c>
      <c r="S128" s="1">
        <v>85</v>
      </c>
    </row>
    <row r="129" spans="16:19" x14ac:dyDescent="0.35">
      <c r="P129" s="4" t="s">
        <v>124</v>
      </c>
      <c r="Q129">
        <v>32</v>
      </c>
      <c r="R129">
        <v>90</v>
      </c>
      <c r="S129" s="1">
        <v>22</v>
      </c>
    </row>
    <row r="130" spans="16:19" x14ac:dyDescent="0.35">
      <c r="P130" s="4" t="s">
        <v>104</v>
      </c>
      <c r="Q130">
        <v>633</v>
      </c>
      <c r="R130">
        <v>91</v>
      </c>
      <c r="S130" s="1">
        <v>82</v>
      </c>
    </row>
    <row r="131" spans="16:19" x14ac:dyDescent="0.35">
      <c r="P131" s="4" t="s">
        <v>107</v>
      </c>
      <c r="Q131">
        <v>242</v>
      </c>
      <c r="R131">
        <v>93</v>
      </c>
      <c r="S131" s="1">
        <v>54</v>
      </c>
    </row>
    <row r="132" spans="16:19" x14ac:dyDescent="0.35">
      <c r="P132" s="4" t="s">
        <v>101</v>
      </c>
      <c r="Q132">
        <v>910</v>
      </c>
      <c r="R132">
        <v>93</v>
      </c>
      <c r="S132" s="1">
        <v>51</v>
      </c>
    </row>
    <row r="133" spans="16:19" x14ac:dyDescent="0.35">
      <c r="P133" s="4" t="s">
        <v>69</v>
      </c>
      <c r="Q133">
        <v>469</v>
      </c>
      <c r="R133">
        <v>94</v>
      </c>
      <c r="S133" s="1">
        <v>69</v>
      </c>
    </row>
    <row r="134" spans="16:19" x14ac:dyDescent="0.35">
      <c r="P134" s="4" t="s">
        <v>65</v>
      </c>
      <c r="Q134">
        <v>960</v>
      </c>
      <c r="R134">
        <v>95</v>
      </c>
      <c r="S134" s="1">
        <v>60</v>
      </c>
    </row>
    <row r="135" spans="16:19" x14ac:dyDescent="0.35">
      <c r="P135" s="4" t="s">
        <v>34</v>
      </c>
      <c r="Q135">
        <v>736</v>
      </c>
      <c r="R135">
        <v>95</v>
      </c>
      <c r="S135" s="1">
        <v>37</v>
      </c>
    </row>
    <row r="136" spans="16:19" x14ac:dyDescent="0.35">
      <c r="P136" s="4" t="s">
        <v>88</v>
      </c>
      <c r="Q136">
        <v>602</v>
      </c>
      <c r="R136">
        <v>96</v>
      </c>
      <c r="S136" s="1">
        <v>21</v>
      </c>
    </row>
    <row r="137" spans="16:19" x14ac:dyDescent="0.35">
      <c r="P137" s="4" t="s">
        <v>148</v>
      </c>
      <c r="Q137">
        <v>987</v>
      </c>
      <c r="R137">
        <v>97</v>
      </c>
      <c r="S137" s="1">
        <v>72</v>
      </c>
    </row>
    <row r="138" spans="16:19" x14ac:dyDescent="0.35">
      <c r="P138" s="4" t="s">
        <v>94</v>
      </c>
      <c r="Q138">
        <v>933</v>
      </c>
      <c r="R138">
        <v>97</v>
      </c>
      <c r="S138" s="1">
        <v>39</v>
      </c>
    </row>
    <row r="139" spans="16:19" x14ac:dyDescent="0.35">
      <c r="P139" s="4" t="s">
        <v>96</v>
      </c>
      <c r="Q139">
        <v>155</v>
      </c>
      <c r="R139">
        <v>98</v>
      </c>
      <c r="S139" s="1">
        <v>57</v>
      </c>
    </row>
    <row r="140" spans="16:19" x14ac:dyDescent="0.35">
      <c r="P140" s="4" t="s">
        <v>138</v>
      </c>
      <c r="Q140">
        <v>618</v>
      </c>
      <c r="R140">
        <v>99</v>
      </c>
      <c r="S140" s="1">
        <v>80</v>
      </c>
    </row>
    <row r="141" spans="16:19" x14ac:dyDescent="0.35">
      <c r="P141" s="4" t="s">
        <v>73</v>
      </c>
      <c r="Q141">
        <v>187</v>
      </c>
      <c r="R141">
        <v>100</v>
      </c>
      <c r="S141" s="1">
        <v>94</v>
      </c>
    </row>
    <row r="142" spans="16:19" x14ac:dyDescent="0.35">
      <c r="P142" s="4" t="s">
        <v>159</v>
      </c>
      <c r="Q142">
        <v>46099</v>
      </c>
      <c r="R142">
        <v>4840</v>
      </c>
      <c r="S142" s="1">
        <v>49.22</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2708E-E24B-439F-B574-361155AED524}">
  <dimension ref="A3:S36"/>
  <sheetViews>
    <sheetView topLeftCell="F1" workbookViewId="0">
      <selection activeCell="S7" sqref="S7"/>
    </sheetView>
  </sheetViews>
  <sheetFormatPr defaultRowHeight="14.5" x14ac:dyDescent="0.35"/>
  <cols>
    <col min="1" max="1" width="12.453125" bestFit="1" customWidth="1"/>
    <col min="2" max="2" width="17.1796875" bestFit="1" customWidth="1"/>
    <col min="3" max="3" width="19" bestFit="1" customWidth="1"/>
    <col min="6" max="6" width="12.453125" bestFit="1" customWidth="1"/>
    <col min="7" max="7" width="17.1796875" bestFit="1" customWidth="1"/>
    <col min="8" max="8" width="23.54296875" bestFit="1" customWidth="1"/>
    <col min="10" max="10" width="12.453125" bestFit="1" customWidth="1"/>
    <col min="11" max="11" width="11.7265625" bestFit="1" customWidth="1"/>
    <col min="12" max="12" width="19" bestFit="1" customWidth="1"/>
    <col min="13" max="13" width="7.6328125" bestFit="1" customWidth="1"/>
    <col min="14" max="14" width="10.36328125" bestFit="1" customWidth="1"/>
    <col min="15" max="15" width="12.453125" bestFit="1" customWidth="1"/>
    <col min="16" max="16" width="15.6328125" bestFit="1" customWidth="1"/>
    <col min="17" max="17" width="7.90625" bestFit="1" customWidth="1"/>
    <col min="18" max="18" width="9.7265625" bestFit="1" customWidth="1"/>
    <col min="19" max="19" width="10.36328125" bestFit="1" customWidth="1"/>
  </cols>
  <sheetData>
    <row r="3" spans="1:19" x14ac:dyDescent="0.35">
      <c r="A3" s="3" t="s">
        <v>158</v>
      </c>
      <c r="B3" t="s">
        <v>172</v>
      </c>
      <c r="C3" t="s">
        <v>185</v>
      </c>
      <c r="F3" s="3" t="s">
        <v>158</v>
      </c>
      <c r="G3" t="s">
        <v>172</v>
      </c>
      <c r="H3" t="s">
        <v>173</v>
      </c>
      <c r="J3" s="3" t="s">
        <v>158</v>
      </c>
      <c r="K3" t="s">
        <v>179</v>
      </c>
      <c r="L3" t="s">
        <v>185</v>
      </c>
      <c r="O3" s="3" t="s">
        <v>179</v>
      </c>
      <c r="P3" s="3" t="s">
        <v>168</v>
      </c>
    </row>
    <row r="4" spans="1:19" x14ac:dyDescent="0.35">
      <c r="A4" s="4" t="s">
        <v>155</v>
      </c>
      <c r="B4" s="1">
        <v>1644</v>
      </c>
      <c r="C4" s="1">
        <v>15.529411764705882</v>
      </c>
      <c r="F4" s="4" t="s">
        <v>155</v>
      </c>
      <c r="G4" s="1">
        <v>1644</v>
      </c>
      <c r="H4" s="1">
        <v>43.529411764705884</v>
      </c>
      <c r="J4" s="4" t="s">
        <v>175</v>
      </c>
      <c r="K4">
        <v>27</v>
      </c>
      <c r="L4" s="1">
        <v>14.37037037037037</v>
      </c>
      <c r="O4" s="3" t="s">
        <v>158</v>
      </c>
      <c r="P4" t="s">
        <v>156</v>
      </c>
      <c r="Q4" t="s">
        <v>155</v>
      </c>
      <c r="R4" t="s">
        <v>157</v>
      </c>
      <c r="S4" t="s">
        <v>159</v>
      </c>
    </row>
    <row r="5" spans="1:19" x14ac:dyDescent="0.35">
      <c r="A5" s="4" t="s">
        <v>156</v>
      </c>
      <c r="B5" s="1">
        <v>1608</v>
      </c>
      <c r="C5" s="1">
        <v>16.7</v>
      </c>
      <c r="F5" s="4" t="s">
        <v>156</v>
      </c>
      <c r="G5" s="1">
        <v>1608</v>
      </c>
      <c r="H5" s="1">
        <v>52.475000000000001</v>
      </c>
      <c r="J5" s="4" t="s">
        <v>176</v>
      </c>
      <c r="K5">
        <v>26</v>
      </c>
      <c r="L5" s="1">
        <v>16.692307692307693</v>
      </c>
      <c r="O5" s="4" t="s">
        <v>195</v>
      </c>
      <c r="P5">
        <v>15</v>
      </c>
      <c r="Q5">
        <v>7</v>
      </c>
      <c r="R5">
        <v>7</v>
      </c>
      <c r="S5">
        <v>29</v>
      </c>
    </row>
    <row r="6" spans="1:19" x14ac:dyDescent="0.35">
      <c r="A6" s="4" t="s">
        <v>157</v>
      </c>
      <c r="B6" s="1">
        <v>1525</v>
      </c>
      <c r="C6" s="1">
        <v>15.384615384615385</v>
      </c>
      <c r="F6" s="4" t="s">
        <v>157</v>
      </c>
      <c r="G6" s="1">
        <v>1525</v>
      </c>
      <c r="H6" s="1">
        <v>51.653846153846153</v>
      </c>
      <c r="J6" s="4" t="s">
        <v>177</v>
      </c>
      <c r="K6">
        <v>20</v>
      </c>
      <c r="L6" s="1">
        <v>16.850000000000001</v>
      </c>
      <c r="O6" s="4" t="s">
        <v>193</v>
      </c>
      <c r="P6">
        <v>11</v>
      </c>
      <c r="Q6">
        <v>7</v>
      </c>
      <c r="R6">
        <v>6</v>
      </c>
      <c r="S6">
        <v>24</v>
      </c>
    </row>
    <row r="7" spans="1:19" x14ac:dyDescent="0.35">
      <c r="A7" s="4" t="s">
        <v>159</v>
      </c>
      <c r="B7" s="1">
        <v>4777</v>
      </c>
      <c r="C7" s="1">
        <v>15.96</v>
      </c>
      <c r="F7" s="4" t="s">
        <v>159</v>
      </c>
      <c r="G7" s="1">
        <v>4777</v>
      </c>
      <c r="H7" s="1">
        <v>49.22</v>
      </c>
      <c r="J7" s="4" t="s">
        <v>178</v>
      </c>
      <c r="K7">
        <v>27</v>
      </c>
      <c r="L7" s="1">
        <v>16.185185185185187</v>
      </c>
      <c r="O7" s="4" t="s">
        <v>194</v>
      </c>
      <c r="P7">
        <v>14</v>
      </c>
      <c r="Q7">
        <v>20</v>
      </c>
      <c r="R7">
        <v>13</v>
      </c>
      <c r="S7">
        <v>47</v>
      </c>
    </row>
    <row r="8" spans="1:19" x14ac:dyDescent="0.35">
      <c r="J8" s="4" t="s">
        <v>159</v>
      </c>
      <c r="K8">
        <v>100</v>
      </c>
      <c r="L8" s="1">
        <v>15.96</v>
      </c>
      <c r="O8" s="4" t="s">
        <v>159</v>
      </c>
      <c r="P8">
        <v>40</v>
      </c>
      <c r="Q8">
        <v>34</v>
      </c>
      <c r="R8">
        <v>26</v>
      </c>
      <c r="S8">
        <v>100</v>
      </c>
    </row>
    <row r="9" spans="1:19" x14ac:dyDescent="0.35">
      <c r="A9" s="3" t="s">
        <v>158</v>
      </c>
      <c r="B9" t="s">
        <v>172</v>
      </c>
      <c r="C9" t="s">
        <v>173</v>
      </c>
      <c r="F9" s="3" t="s">
        <v>158</v>
      </c>
      <c r="G9" t="s">
        <v>172</v>
      </c>
      <c r="H9" t="s">
        <v>173</v>
      </c>
    </row>
    <row r="10" spans="1:19" x14ac:dyDescent="0.35">
      <c r="A10" s="4" t="s">
        <v>25</v>
      </c>
      <c r="B10" s="1">
        <v>58</v>
      </c>
      <c r="C10" s="1">
        <v>96</v>
      </c>
      <c r="F10" s="4" t="s">
        <v>128</v>
      </c>
      <c r="G10" s="1">
        <v>41</v>
      </c>
      <c r="H10" s="1">
        <v>1</v>
      </c>
      <c r="J10" s="3" t="s">
        <v>158</v>
      </c>
      <c r="K10" t="s">
        <v>179</v>
      </c>
    </row>
    <row r="11" spans="1:19" x14ac:dyDescent="0.35">
      <c r="A11" s="4" t="s">
        <v>144</v>
      </c>
      <c r="B11" s="1">
        <v>66</v>
      </c>
      <c r="C11" s="1">
        <v>96</v>
      </c>
      <c r="F11" s="4" t="s">
        <v>78</v>
      </c>
      <c r="G11" s="1">
        <v>4</v>
      </c>
      <c r="H11" s="1">
        <v>2</v>
      </c>
      <c r="J11" s="4" t="s">
        <v>188</v>
      </c>
      <c r="K11">
        <v>16</v>
      </c>
    </row>
    <row r="12" spans="1:19" x14ac:dyDescent="0.35">
      <c r="A12" s="4" t="s">
        <v>87</v>
      </c>
      <c r="B12" s="1">
        <v>4</v>
      </c>
      <c r="C12" s="1">
        <v>95</v>
      </c>
      <c r="F12" s="4" t="s">
        <v>151</v>
      </c>
      <c r="G12" s="1">
        <v>46</v>
      </c>
      <c r="H12" s="1">
        <v>4</v>
      </c>
      <c r="J12" s="4" t="s">
        <v>189</v>
      </c>
      <c r="K12">
        <v>14</v>
      </c>
    </row>
    <row r="13" spans="1:19" x14ac:dyDescent="0.35">
      <c r="A13" s="4" t="s">
        <v>73</v>
      </c>
      <c r="B13" s="1">
        <v>48</v>
      </c>
      <c r="C13" s="1">
        <v>94</v>
      </c>
      <c r="F13" s="4" t="s">
        <v>100</v>
      </c>
      <c r="G13" s="1">
        <v>92</v>
      </c>
      <c r="H13" s="1">
        <v>6</v>
      </c>
      <c r="J13" s="4" t="s">
        <v>190</v>
      </c>
      <c r="K13">
        <v>23</v>
      </c>
    </row>
    <row r="14" spans="1:19" x14ac:dyDescent="0.35">
      <c r="A14" s="4" t="s">
        <v>92</v>
      </c>
      <c r="B14" s="1">
        <v>69</v>
      </c>
      <c r="C14" s="1">
        <v>88</v>
      </c>
      <c r="F14" s="4" t="s">
        <v>137</v>
      </c>
      <c r="G14" s="1">
        <v>65</v>
      </c>
      <c r="H14" s="1">
        <v>7</v>
      </c>
      <c r="J14" s="4" t="s">
        <v>159</v>
      </c>
      <c r="K14">
        <v>53</v>
      </c>
    </row>
    <row r="15" spans="1:19" x14ac:dyDescent="0.35">
      <c r="A15" s="4" t="s">
        <v>37</v>
      </c>
      <c r="B15" s="1">
        <v>1</v>
      </c>
      <c r="C15" s="1">
        <v>88</v>
      </c>
      <c r="F15" s="4" t="s">
        <v>75</v>
      </c>
      <c r="G15" s="1">
        <v>69</v>
      </c>
      <c r="H15" s="1">
        <v>7</v>
      </c>
    </row>
    <row r="16" spans="1:19" x14ac:dyDescent="0.35">
      <c r="A16" s="4" t="s">
        <v>142</v>
      </c>
      <c r="B16" s="1">
        <v>60</v>
      </c>
      <c r="C16" s="1">
        <v>85</v>
      </c>
      <c r="F16" s="4" t="s">
        <v>135</v>
      </c>
      <c r="G16" s="1">
        <v>48</v>
      </c>
      <c r="H16" s="1">
        <v>8</v>
      </c>
    </row>
    <row r="17" spans="1:8" x14ac:dyDescent="0.35">
      <c r="A17" s="4" t="s">
        <v>97</v>
      </c>
      <c r="B17" s="1">
        <v>36</v>
      </c>
      <c r="C17" s="1">
        <v>85</v>
      </c>
      <c r="F17" s="4" t="s">
        <v>103</v>
      </c>
      <c r="G17" s="1">
        <v>97</v>
      </c>
      <c r="H17" s="1">
        <v>9</v>
      </c>
    </row>
    <row r="18" spans="1:8" x14ac:dyDescent="0.35">
      <c r="A18" s="4" t="s">
        <v>145</v>
      </c>
      <c r="B18" s="1">
        <v>98</v>
      </c>
      <c r="C18" s="1">
        <v>85</v>
      </c>
      <c r="F18" s="4" t="s">
        <v>102</v>
      </c>
      <c r="G18" s="1">
        <v>30</v>
      </c>
      <c r="H18" s="1">
        <v>9</v>
      </c>
    </row>
    <row r="19" spans="1:8" x14ac:dyDescent="0.35">
      <c r="A19" s="4" t="s">
        <v>71</v>
      </c>
      <c r="B19" s="1">
        <v>45</v>
      </c>
      <c r="C19" s="1">
        <v>85</v>
      </c>
      <c r="F19" s="4" t="s">
        <v>117</v>
      </c>
      <c r="G19" s="1">
        <v>54</v>
      </c>
      <c r="H19" s="1">
        <v>10</v>
      </c>
    </row>
    <row r="20" spans="1:8" x14ac:dyDescent="0.35">
      <c r="A20" s="4" t="s">
        <v>66</v>
      </c>
      <c r="B20" s="1">
        <v>100</v>
      </c>
      <c r="C20" s="1">
        <v>85</v>
      </c>
      <c r="F20" s="4" t="s">
        <v>146</v>
      </c>
      <c r="G20" s="1">
        <v>90</v>
      </c>
      <c r="H20" s="1">
        <v>10</v>
      </c>
    </row>
    <row r="21" spans="1:8" x14ac:dyDescent="0.35">
      <c r="A21" s="4" t="s">
        <v>89</v>
      </c>
      <c r="B21" s="1">
        <v>42</v>
      </c>
      <c r="C21" s="1">
        <v>85</v>
      </c>
      <c r="F21" s="4" t="s">
        <v>109</v>
      </c>
      <c r="G21" s="1">
        <v>97</v>
      </c>
      <c r="H21" s="1">
        <v>11</v>
      </c>
    </row>
    <row r="22" spans="1:8" x14ac:dyDescent="0.35">
      <c r="A22" s="4" t="s">
        <v>60</v>
      </c>
      <c r="B22" s="1">
        <v>14</v>
      </c>
      <c r="C22" s="1">
        <v>83</v>
      </c>
      <c r="F22" s="4" t="s">
        <v>58</v>
      </c>
      <c r="G22" s="1">
        <v>93</v>
      </c>
      <c r="H22" s="1">
        <v>11</v>
      </c>
    </row>
    <row r="23" spans="1:8" x14ac:dyDescent="0.35">
      <c r="A23" s="4" t="s">
        <v>110</v>
      </c>
      <c r="B23" s="1">
        <v>25</v>
      </c>
      <c r="C23" s="1">
        <v>83</v>
      </c>
      <c r="F23" s="4" t="s">
        <v>106</v>
      </c>
      <c r="G23" s="1">
        <v>64</v>
      </c>
      <c r="H23" s="1">
        <v>11</v>
      </c>
    </row>
    <row r="24" spans="1:8" x14ac:dyDescent="0.35">
      <c r="A24" s="4" t="s">
        <v>104</v>
      </c>
      <c r="B24" s="1">
        <v>31</v>
      </c>
      <c r="C24" s="1">
        <v>82</v>
      </c>
      <c r="F24" s="4" t="s">
        <v>59</v>
      </c>
      <c r="G24" s="1">
        <v>5</v>
      </c>
      <c r="H24" s="1">
        <v>15</v>
      </c>
    </row>
    <row r="25" spans="1:8" x14ac:dyDescent="0.35">
      <c r="A25" s="4" t="s">
        <v>63</v>
      </c>
      <c r="B25" s="1">
        <v>51</v>
      </c>
      <c r="C25" s="1">
        <v>80</v>
      </c>
      <c r="F25" s="4" t="s">
        <v>120</v>
      </c>
      <c r="G25" s="1">
        <v>13</v>
      </c>
      <c r="H25" s="1">
        <v>19</v>
      </c>
    </row>
    <row r="26" spans="1:8" x14ac:dyDescent="0.35">
      <c r="A26" s="4" t="s">
        <v>138</v>
      </c>
      <c r="B26" s="1">
        <v>73</v>
      </c>
      <c r="C26" s="1">
        <v>80</v>
      </c>
      <c r="F26" s="4" t="s">
        <v>133</v>
      </c>
      <c r="G26" s="1">
        <v>31</v>
      </c>
      <c r="H26" s="1">
        <v>20</v>
      </c>
    </row>
    <row r="27" spans="1:8" x14ac:dyDescent="0.35">
      <c r="A27" s="4" t="s">
        <v>68</v>
      </c>
      <c r="B27" s="1">
        <v>54</v>
      </c>
      <c r="C27" s="1">
        <v>78</v>
      </c>
      <c r="F27" s="4" t="s">
        <v>91</v>
      </c>
      <c r="G27" s="1">
        <v>25</v>
      </c>
      <c r="H27" s="1">
        <v>21</v>
      </c>
    </row>
    <row r="28" spans="1:8" x14ac:dyDescent="0.35">
      <c r="A28" s="4" t="s">
        <v>70</v>
      </c>
      <c r="B28" s="1">
        <v>2</v>
      </c>
      <c r="C28" s="1">
        <v>78</v>
      </c>
      <c r="F28" s="4" t="s">
        <v>88</v>
      </c>
      <c r="G28" s="1">
        <v>1</v>
      </c>
      <c r="H28" s="1">
        <v>21</v>
      </c>
    </row>
    <row r="29" spans="1:8" x14ac:dyDescent="0.35">
      <c r="A29" s="4" t="s">
        <v>126</v>
      </c>
      <c r="B29" s="1">
        <v>57</v>
      </c>
      <c r="C29" s="1">
        <v>77</v>
      </c>
      <c r="F29" s="4" t="s">
        <v>130</v>
      </c>
      <c r="G29" s="1">
        <v>38</v>
      </c>
      <c r="H29" s="1">
        <v>22</v>
      </c>
    </row>
    <row r="30" spans="1:8" x14ac:dyDescent="0.35">
      <c r="A30" s="4" t="s">
        <v>159</v>
      </c>
      <c r="B30" s="1">
        <v>934</v>
      </c>
      <c r="C30" s="1">
        <v>85.4</v>
      </c>
      <c r="F30" s="4" t="s">
        <v>124</v>
      </c>
      <c r="G30" s="1">
        <v>10</v>
      </c>
      <c r="H30" s="1">
        <v>22</v>
      </c>
    </row>
    <row r="31" spans="1:8" x14ac:dyDescent="0.35">
      <c r="F31" s="4" t="s">
        <v>140</v>
      </c>
      <c r="G31" s="1">
        <v>32</v>
      </c>
      <c r="H31" s="1">
        <v>22</v>
      </c>
    </row>
    <row r="32" spans="1:8" x14ac:dyDescent="0.35">
      <c r="F32" s="4" t="s">
        <v>82</v>
      </c>
      <c r="G32" s="1">
        <v>48</v>
      </c>
      <c r="H32" s="1">
        <v>24</v>
      </c>
    </row>
    <row r="33" spans="6:8" x14ac:dyDescent="0.35">
      <c r="F33" s="4" t="s">
        <v>149</v>
      </c>
      <c r="G33" s="1">
        <v>15</v>
      </c>
      <c r="H33" s="1">
        <v>26</v>
      </c>
    </row>
    <row r="34" spans="6:8" x14ac:dyDescent="0.35">
      <c r="F34" s="4" t="s">
        <v>113</v>
      </c>
      <c r="G34" s="1">
        <v>100</v>
      </c>
      <c r="H34" s="1">
        <v>26</v>
      </c>
    </row>
    <row r="35" spans="6:8" x14ac:dyDescent="0.35">
      <c r="F35" s="4" t="s">
        <v>125</v>
      </c>
      <c r="G35" s="1">
        <v>76</v>
      </c>
      <c r="H35" s="1">
        <v>26</v>
      </c>
    </row>
    <row r="36" spans="6:8" x14ac:dyDescent="0.35">
      <c r="F36" s="4" t="s">
        <v>159</v>
      </c>
      <c r="G36" s="1">
        <v>1284</v>
      </c>
      <c r="H36" s="1">
        <v>14.23076923076923</v>
      </c>
    </row>
  </sheetData>
  <conditionalFormatting pivot="1" sqref="B10:B29">
    <cfRule type="colorScale" priority="2">
      <colorScale>
        <cfvo type="min"/>
        <cfvo type="percentile" val="50"/>
        <cfvo type="max"/>
        <color rgb="FFF8696B"/>
        <color rgb="FFFFEB84"/>
        <color rgb="FF63BE7B"/>
      </colorScale>
    </cfRule>
  </conditionalFormatting>
  <conditionalFormatting pivot="1" sqref="G10:G35">
    <cfRule type="colorScale" priority="1">
      <colorScale>
        <cfvo type="min"/>
        <cfvo type="percentile" val="50"/>
        <cfvo type="max"/>
        <color rgb="FFF8696B"/>
        <color rgb="FFFFEB84"/>
        <color rgb="FF63BE7B"/>
      </colorScale>
    </cfRule>
  </conditionalFormatting>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10EDB-D7C0-4522-BDC6-C64141595F1D}">
  <dimension ref="A3:O28"/>
  <sheetViews>
    <sheetView workbookViewId="0">
      <selection activeCell="A12" sqref="A12"/>
    </sheetView>
  </sheetViews>
  <sheetFormatPr defaultRowHeight="14.5" x14ac:dyDescent="0.35"/>
  <cols>
    <col min="1" max="1" width="12.453125" bestFit="1" customWidth="1"/>
    <col min="2" max="2" width="24.26953125" bestFit="1" customWidth="1"/>
    <col min="3" max="3" width="19.453125" bestFit="1" customWidth="1"/>
    <col min="4" max="4" width="9.26953125" bestFit="1" customWidth="1"/>
    <col min="5" max="5" width="10.26953125" bestFit="1" customWidth="1"/>
    <col min="6" max="6" width="9.26953125" bestFit="1" customWidth="1"/>
    <col min="7" max="7" width="12.453125" bestFit="1" customWidth="1"/>
    <col min="8" max="8" width="30.54296875" bestFit="1" customWidth="1"/>
    <col min="9" max="9" width="12.453125" bestFit="1" customWidth="1"/>
    <col min="10" max="10" width="15.6328125" bestFit="1" customWidth="1"/>
    <col min="11" max="11" width="7.90625" bestFit="1" customWidth="1"/>
    <col min="12" max="12" width="5.26953125" bestFit="1" customWidth="1"/>
    <col min="13" max="13" width="7.08984375" bestFit="1" customWidth="1"/>
    <col min="14" max="14" width="7.6328125" bestFit="1" customWidth="1"/>
    <col min="15" max="15" width="10.36328125" bestFit="1" customWidth="1"/>
    <col min="16" max="16" width="6.26953125" bestFit="1" customWidth="1"/>
    <col min="17" max="41" width="6.7265625" bestFit="1" customWidth="1"/>
    <col min="42" max="43" width="6.26953125" bestFit="1" customWidth="1"/>
    <col min="44" max="57" width="6.7265625" bestFit="1" customWidth="1"/>
    <col min="58" max="58" width="6.26953125" bestFit="1" customWidth="1"/>
    <col min="59" max="64" width="6.7265625" bestFit="1" customWidth="1"/>
    <col min="65" max="65" width="6.26953125" bestFit="1" customWidth="1"/>
    <col min="66" max="66" width="5.7265625" bestFit="1" customWidth="1"/>
    <col min="67" max="70" width="6.7265625" bestFit="1" customWidth="1"/>
    <col min="71" max="72" width="6.26953125" bestFit="1" customWidth="1"/>
    <col min="73" max="73" width="6.7265625" bestFit="1" customWidth="1"/>
    <col min="74" max="74" width="6.26953125" bestFit="1" customWidth="1"/>
    <col min="75" max="90" width="6.7265625" bestFit="1" customWidth="1"/>
    <col min="91" max="91" width="6.26953125" bestFit="1" customWidth="1"/>
    <col min="92" max="107" width="6.7265625" bestFit="1" customWidth="1"/>
    <col min="108" max="108" width="6.26953125" bestFit="1" customWidth="1"/>
    <col min="109" max="109" width="6.7265625" bestFit="1" customWidth="1"/>
    <col min="110" max="110" width="10.36328125" bestFit="1" customWidth="1"/>
  </cols>
  <sheetData>
    <row r="3" spans="1:11" x14ac:dyDescent="0.35">
      <c r="A3" s="3" t="s">
        <v>158</v>
      </c>
      <c r="B3" t="s">
        <v>180</v>
      </c>
      <c r="G3" s="3" t="s">
        <v>158</v>
      </c>
      <c r="H3" t="s">
        <v>181</v>
      </c>
      <c r="I3" t="s">
        <v>182</v>
      </c>
    </row>
    <row r="4" spans="1:11" x14ac:dyDescent="0.35">
      <c r="A4" s="4" t="s">
        <v>39</v>
      </c>
      <c r="B4" s="1">
        <v>14.777777777777779</v>
      </c>
      <c r="G4" s="4" t="s">
        <v>61</v>
      </c>
      <c r="H4" s="1">
        <v>15.590909090909092</v>
      </c>
      <c r="I4" s="2">
        <v>41.622518181818187</v>
      </c>
    </row>
    <row r="5" spans="1:11" x14ac:dyDescent="0.35">
      <c r="A5" s="4" t="s">
        <v>52</v>
      </c>
      <c r="B5" s="1">
        <v>15.222222222222221</v>
      </c>
      <c r="G5" s="4" t="s">
        <v>28</v>
      </c>
      <c r="H5" s="1">
        <v>14.933333333333334</v>
      </c>
      <c r="I5" s="2">
        <v>43.634133333333338</v>
      </c>
    </row>
    <row r="6" spans="1:11" x14ac:dyDescent="0.35">
      <c r="A6" s="4" t="s">
        <v>44</v>
      </c>
      <c r="B6" s="1">
        <v>18.055555555555557</v>
      </c>
      <c r="G6" s="4" t="s">
        <v>44</v>
      </c>
      <c r="H6" s="1">
        <v>16.333333333333332</v>
      </c>
      <c r="I6" s="2">
        <v>44.768227777777774</v>
      </c>
    </row>
    <row r="7" spans="1:11" x14ac:dyDescent="0.35">
      <c r="A7" s="4" t="s">
        <v>61</v>
      </c>
      <c r="B7" s="1">
        <v>18.545454545454547</v>
      </c>
      <c r="G7" s="4" t="s">
        <v>39</v>
      </c>
      <c r="H7" s="1">
        <v>12.592592592592593</v>
      </c>
      <c r="I7" s="2">
        <v>45.254033333333339</v>
      </c>
    </row>
    <row r="8" spans="1:11" x14ac:dyDescent="0.35">
      <c r="A8" s="4" t="s">
        <v>28</v>
      </c>
      <c r="B8" s="1">
        <v>20.133333333333333</v>
      </c>
      <c r="G8" s="4" t="s">
        <v>52</v>
      </c>
      <c r="H8" s="1">
        <v>15.333333333333334</v>
      </c>
      <c r="I8" s="2">
        <v>62.709738888888893</v>
      </c>
    </row>
    <row r="9" spans="1:11" x14ac:dyDescent="0.35">
      <c r="A9" s="4" t="s">
        <v>159</v>
      </c>
      <c r="B9" s="1">
        <v>17.079999999999998</v>
      </c>
      <c r="G9" s="4" t="s">
        <v>159</v>
      </c>
      <c r="H9" s="1">
        <v>14.77</v>
      </c>
      <c r="I9" s="2">
        <v>47.266696999999994</v>
      </c>
    </row>
    <row r="12" spans="1:11" x14ac:dyDescent="0.35">
      <c r="A12" s="3" t="s">
        <v>158</v>
      </c>
      <c r="B12" t="s">
        <v>199</v>
      </c>
      <c r="C12" t="s">
        <v>179</v>
      </c>
      <c r="G12" s="3" t="s">
        <v>158</v>
      </c>
      <c r="H12" t="s">
        <v>181</v>
      </c>
      <c r="I12" t="s">
        <v>183</v>
      </c>
      <c r="J12" t="s">
        <v>184</v>
      </c>
      <c r="K12" t="s">
        <v>182</v>
      </c>
    </row>
    <row r="13" spans="1:11" x14ac:dyDescent="0.35">
      <c r="A13" s="4" t="s">
        <v>39</v>
      </c>
      <c r="B13" s="2">
        <v>1221.8589000000002</v>
      </c>
      <c r="C13">
        <v>27</v>
      </c>
      <c r="G13" s="4" t="s">
        <v>61</v>
      </c>
      <c r="H13" s="1">
        <v>15.590909090909092</v>
      </c>
      <c r="I13" s="1">
        <v>641.13636363636363</v>
      </c>
      <c r="J13">
        <v>2.3627500909090915</v>
      </c>
      <c r="K13" s="2">
        <v>41.622518181818187</v>
      </c>
    </row>
    <row r="14" spans="1:11" x14ac:dyDescent="0.35">
      <c r="A14" s="4" t="s">
        <v>52</v>
      </c>
      <c r="B14" s="2">
        <v>1128.7753</v>
      </c>
      <c r="C14">
        <v>18</v>
      </c>
      <c r="G14" s="4" t="s">
        <v>28</v>
      </c>
      <c r="H14" s="1">
        <v>14.933333333333334</v>
      </c>
      <c r="I14" s="1">
        <v>533.13333333333333</v>
      </c>
      <c r="J14">
        <v>2.4657860666666664</v>
      </c>
      <c r="K14" s="2">
        <v>43.634133333333338</v>
      </c>
    </row>
    <row r="15" spans="1:11" x14ac:dyDescent="0.35">
      <c r="A15" s="4" t="s">
        <v>61</v>
      </c>
      <c r="B15" s="2">
        <v>915.69540000000006</v>
      </c>
      <c r="C15">
        <v>22</v>
      </c>
      <c r="G15" s="4" t="s">
        <v>44</v>
      </c>
      <c r="H15" s="1">
        <v>16.333333333333332</v>
      </c>
      <c r="I15" s="1">
        <v>521.16666666666663</v>
      </c>
      <c r="J15">
        <v>2.6654083888888889</v>
      </c>
      <c r="K15" s="2">
        <v>44.768227777777774</v>
      </c>
    </row>
    <row r="16" spans="1:11" x14ac:dyDescent="0.35">
      <c r="A16" s="4" t="s">
        <v>44</v>
      </c>
      <c r="B16" s="2">
        <v>805.82809999999995</v>
      </c>
      <c r="C16">
        <v>18</v>
      </c>
      <c r="G16" s="4" t="s">
        <v>39</v>
      </c>
      <c r="H16" s="1">
        <v>12.592592592592593</v>
      </c>
      <c r="I16" s="1">
        <v>501.66666666666669</v>
      </c>
      <c r="J16">
        <v>1.8036298148148147</v>
      </c>
      <c r="K16" s="2">
        <v>45.254033333333339</v>
      </c>
    </row>
    <row r="17" spans="1:15" x14ac:dyDescent="0.35">
      <c r="A17" s="4" t="s">
        <v>28</v>
      </c>
      <c r="B17" s="2">
        <v>654.51200000000006</v>
      </c>
      <c r="C17">
        <v>15</v>
      </c>
      <c r="G17" s="4" t="s">
        <v>52</v>
      </c>
      <c r="H17" s="1">
        <v>15.333333333333334</v>
      </c>
      <c r="I17" s="1">
        <v>653.11111111111109</v>
      </c>
      <c r="J17">
        <v>2.3373974999999998</v>
      </c>
      <c r="K17" s="2">
        <v>62.709738888888893</v>
      </c>
    </row>
    <row r="18" spans="1:15" x14ac:dyDescent="0.35">
      <c r="A18" s="4" t="s">
        <v>159</v>
      </c>
      <c r="B18" s="2">
        <v>4726.6696999999995</v>
      </c>
      <c r="C18">
        <v>100</v>
      </c>
      <c r="G18" s="4" t="s">
        <v>159</v>
      </c>
      <c r="H18" s="1">
        <v>14.77</v>
      </c>
      <c r="I18" s="1">
        <v>567.84</v>
      </c>
      <c r="J18">
        <v>2.2771580400000002</v>
      </c>
      <c r="K18" s="2">
        <v>47.266696999999994</v>
      </c>
    </row>
    <row r="21" spans="1:15" x14ac:dyDescent="0.35">
      <c r="A21" s="3" t="s">
        <v>199</v>
      </c>
      <c r="B21" s="3" t="s">
        <v>168</v>
      </c>
      <c r="J21" s="3" t="s">
        <v>168</v>
      </c>
    </row>
    <row r="22" spans="1:15" x14ac:dyDescent="0.35">
      <c r="A22" s="3" t="s">
        <v>158</v>
      </c>
      <c r="B22" t="s">
        <v>50</v>
      </c>
      <c r="C22" t="s">
        <v>29</v>
      </c>
      <c r="D22" t="s">
        <v>62</v>
      </c>
      <c r="E22" t="s">
        <v>45</v>
      </c>
      <c r="F22" t="s">
        <v>53</v>
      </c>
      <c r="G22" t="s">
        <v>159</v>
      </c>
      <c r="I22" s="3" t="s">
        <v>158</v>
      </c>
      <c r="J22" t="s">
        <v>53</v>
      </c>
      <c r="K22" t="s">
        <v>62</v>
      </c>
      <c r="L22" t="s">
        <v>50</v>
      </c>
      <c r="M22" t="s">
        <v>45</v>
      </c>
      <c r="N22" t="s">
        <v>29</v>
      </c>
      <c r="O22" t="s">
        <v>159</v>
      </c>
    </row>
    <row r="23" spans="1:15" x14ac:dyDescent="0.35">
      <c r="A23" s="4" t="s">
        <v>28</v>
      </c>
      <c r="B23" s="2">
        <v>84.836999999999989</v>
      </c>
      <c r="C23" s="2">
        <v>97.700499999999991</v>
      </c>
      <c r="D23" s="2">
        <v>243.23169999999999</v>
      </c>
      <c r="E23" s="2">
        <v>65.120900000000006</v>
      </c>
      <c r="F23" s="2">
        <v>163.62189999999998</v>
      </c>
      <c r="G23" s="2">
        <v>654.51200000000006</v>
      </c>
      <c r="I23" s="4" t="s">
        <v>39</v>
      </c>
    </row>
    <row r="24" spans="1:15" x14ac:dyDescent="0.35">
      <c r="A24" s="4" t="s">
        <v>44</v>
      </c>
      <c r="B24" s="2">
        <v>14.1478</v>
      </c>
      <c r="C24" s="2">
        <v>113.86279999999999</v>
      </c>
      <c r="D24" s="2">
        <v>194.93170000000001</v>
      </c>
      <c r="E24" s="2">
        <v>274.44369999999998</v>
      </c>
      <c r="F24" s="2">
        <v>208.44210000000001</v>
      </c>
      <c r="G24" s="2">
        <v>805.82810000000006</v>
      </c>
      <c r="I24" s="4" t="s">
        <v>61</v>
      </c>
    </row>
    <row r="25" spans="1:15" x14ac:dyDescent="0.35">
      <c r="A25" s="4" t="s">
        <v>61</v>
      </c>
      <c r="B25" s="2">
        <v>271.75479999999999</v>
      </c>
      <c r="C25" s="2">
        <v>179.43789999999998</v>
      </c>
      <c r="D25" s="2">
        <v>152.34299999999999</v>
      </c>
      <c r="E25" s="2">
        <v>63.706200000000003</v>
      </c>
      <c r="F25" s="2">
        <v>248.45349999999999</v>
      </c>
      <c r="G25" s="2">
        <v>915.69539999999995</v>
      </c>
      <c r="I25" s="4" t="s">
        <v>28</v>
      </c>
    </row>
    <row r="26" spans="1:15" x14ac:dyDescent="0.35">
      <c r="A26" s="4" t="s">
        <v>52</v>
      </c>
      <c r="B26" s="2">
        <v>120.35380000000001</v>
      </c>
      <c r="C26" s="2">
        <v>223.292</v>
      </c>
      <c r="D26" s="2">
        <v>260.20929999999998</v>
      </c>
      <c r="E26" s="2">
        <v>368.68760000000003</v>
      </c>
      <c r="F26" s="2">
        <v>156.23259999999999</v>
      </c>
      <c r="G26" s="2">
        <v>1128.7753</v>
      </c>
      <c r="I26" s="4" t="s">
        <v>52</v>
      </c>
    </row>
    <row r="27" spans="1:15" x14ac:dyDescent="0.35">
      <c r="A27" s="4" t="s">
        <v>39</v>
      </c>
      <c r="B27" s="2">
        <v>242.1071</v>
      </c>
      <c r="C27" s="2">
        <v>193.78739999999999</v>
      </c>
      <c r="D27" s="2">
        <v>172.18510000000001</v>
      </c>
      <c r="E27" s="2">
        <v>274.6198</v>
      </c>
      <c r="F27" s="2">
        <v>339.15949999999998</v>
      </c>
      <c r="G27" s="2">
        <v>1221.8588999999999</v>
      </c>
      <c r="I27" s="4" t="s">
        <v>44</v>
      </c>
    </row>
    <row r="28" spans="1:15" x14ac:dyDescent="0.35">
      <c r="A28" s="4" t="s">
        <v>159</v>
      </c>
      <c r="B28" s="2">
        <v>733.20049999999992</v>
      </c>
      <c r="C28" s="2">
        <v>808.08059999999989</v>
      </c>
      <c r="D28" s="2">
        <v>1022.9008</v>
      </c>
      <c r="E28" s="2">
        <v>1046.5782000000002</v>
      </c>
      <c r="F28" s="2">
        <v>1115.9096</v>
      </c>
      <c r="G28" s="2">
        <v>4726.6696999999995</v>
      </c>
      <c r="I28" s="4" t="s">
        <v>159</v>
      </c>
    </row>
  </sheetData>
  <conditionalFormatting pivot="1" sqref="H13:H17">
    <cfRule type="colorScale" priority="5">
      <colorScale>
        <cfvo type="min"/>
        <cfvo type="percentile" val="50"/>
        <cfvo type="max"/>
        <color rgb="FF00B050"/>
        <color rgb="FFFFEB84"/>
        <color rgb="FFFF0000"/>
      </colorScale>
    </cfRule>
  </conditionalFormatting>
  <conditionalFormatting pivot="1" sqref="I16">
    <cfRule type="colorScale" priority="4">
      <colorScale>
        <cfvo type="min"/>
        <cfvo type="percentile" val="50"/>
        <cfvo type="max"/>
        <color rgb="FFF8696B"/>
        <color rgb="FFFFEB84"/>
        <color rgb="FF63BE7B"/>
      </colorScale>
    </cfRule>
  </conditionalFormatting>
  <conditionalFormatting pivot="1" sqref="J13:J17">
    <cfRule type="colorScale" priority="3">
      <colorScale>
        <cfvo type="min"/>
        <cfvo type="percentile" val="50"/>
        <cfvo type="max"/>
        <color rgb="FF00B050"/>
        <color rgb="FFFFEB84"/>
        <color rgb="FFFF0000"/>
      </colorScale>
    </cfRule>
  </conditionalFormatting>
  <conditionalFormatting pivot="1" sqref="I13:I17">
    <cfRule type="colorScale" priority="2">
      <colorScale>
        <cfvo type="min"/>
        <cfvo type="percentile" val="50"/>
        <cfvo type="max"/>
        <color rgb="FFF8696B"/>
        <color rgb="FFFFEB84"/>
        <color rgb="FF63BE7B"/>
      </colorScale>
    </cfRule>
  </conditionalFormatting>
  <conditionalFormatting pivot="1" sqref="K13:K17">
    <cfRule type="colorScale" priority="1">
      <colorScale>
        <cfvo type="min"/>
        <cfvo type="percentile" val="50"/>
        <cfvo type="max"/>
        <color rgb="FF00B050"/>
        <color rgb="FFFFEB84"/>
        <color rgb="FFFF0000"/>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FB6DD-2243-4934-94D6-E7BAD7DFC1E2}">
  <dimension ref="A3:L16"/>
  <sheetViews>
    <sheetView workbookViewId="0">
      <selection activeCell="F9" sqref="F9"/>
    </sheetView>
  </sheetViews>
  <sheetFormatPr defaultRowHeight="14.5" x14ac:dyDescent="0.35"/>
  <cols>
    <col min="1" max="1" width="12.453125" bestFit="1" customWidth="1"/>
    <col min="2" max="2" width="14.54296875" bestFit="1" customWidth="1"/>
    <col min="5" max="5" width="12.453125" bestFit="1" customWidth="1"/>
    <col min="6" max="6" width="14.54296875" bestFit="1" customWidth="1"/>
    <col min="11" max="11" width="12.453125" bestFit="1" customWidth="1"/>
    <col min="12" max="12" width="14.54296875" bestFit="1" customWidth="1"/>
  </cols>
  <sheetData>
    <row r="3" spans="1:12" x14ac:dyDescent="0.35">
      <c r="A3" s="3" t="s">
        <v>158</v>
      </c>
      <c r="B3" t="s">
        <v>186</v>
      </c>
      <c r="E3" s="3" t="s">
        <v>179</v>
      </c>
      <c r="F3" s="3" t="s">
        <v>168</v>
      </c>
      <c r="K3" s="3" t="s">
        <v>158</v>
      </c>
      <c r="L3" t="s">
        <v>186</v>
      </c>
    </row>
    <row r="4" spans="1:12" x14ac:dyDescent="0.35">
      <c r="A4" s="4" t="s">
        <v>56</v>
      </c>
      <c r="B4" s="2">
        <v>417.8191470588236</v>
      </c>
      <c r="E4" s="3" t="s">
        <v>158</v>
      </c>
      <c r="F4" t="s">
        <v>48</v>
      </c>
      <c r="G4" t="s">
        <v>32</v>
      </c>
      <c r="H4" t="s">
        <v>41</v>
      </c>
      <c r="I4" t="s">
        <v>159</v>
      </c>
      <c r="K4" s="4" t="s">
        <v>48</v>
      </c>
      <c r="L4" s="2">
        <v>485.48312325581389</v>
      </c>
    </row>
    <row r="5" spans="1:12" x14ac:dyDescent="0.35">
      <c r="A5" s="4" t="s">
        <v>47</v>
      </c>
      <c r="B5" s="2">
        <v>541.74756071428567</v>
      </c>
      <c r="E5" s="4" t="s">
        <v>31</v>
      </c>
      <c r="F5">
        <v>11</v>
      </c>
      <c r="G5">
        <v>13</v>
      </c>
      <c r="H5">
        <v>5</v>
      </c>
      <c r="I5">
        <v>29</v>
      </c>
      <c r="K5" s="4" t="s">
        <v>32</v>
      </c>
      <c r="L5" s="2">
        <v>595.65902432432426</v>
      </c>
    </row>
    <row r="6" spans="1:12" x14ac:dyDescent="0.35">
      <c r="A6" s="4" t="s">
        <v>31</v>
      </c>
      <c r="B6" s="2">
        <v>553.38597931034485</v>
      </c>
      <c r="E6" s="4" t="s">
        <v>47</v>
      </c>
      <c r="F6">
        <v>14</v>
      </c>
      <c r="G6">
        <v>11</v>
      </c>
      <c r="H6">
        <v>3</v>
      </c>
      <c r="I6">
        <v>28</v>
      </c>
      <c r="K6" s="4" t="s">
        <v>41</v>
      </c>
      <c r="L6" s="2">
        <v>500.47098499999993</v>
      </c>
    </row>
    <row r="7" spans="1:12" x14ac:dyDescent="0.35">
      <c r="A7" s="4" t="s">
        <v>40</v>
      </c>
      <c r="B7" s="2">
        <v>561.71258846153853</v>
      </c>
      <c r="E7" s="4" t="s">
        <v>40</v>
      </c>
      <c r="F7">
        <v>11</v>
      </c>
      <c r="G7">
        <v>7</v>
      </c>
      <c r="H7">
        <v>8</v>
      </c>
      <c r="I7">
        <v>26</v>
      </c>
      <c r="K7" s="4" t="s">
        <v>159</v>
      </c>
      <c r="L7" s="2">
        <v>529.2457790000002</v>
      </c>
    </row>
    <row r="8" spans="1:12" x14ac:dyDescent="0.35">
      <c r="A8" s="4" t="s">
        <v>159</v>
      </c>
      <c r="B8" s="2">
        <v>529.24577900000031</v>
      </c>
      <c r="E8" s="4" t="s">
        <v>56</v>
      </c>
      <c r="F8">
        <v>7</v>
      </c>
      <c r="G8">
        <v>6</v>
      </c>
      <c r="H8">
        <v>4</v>
      </c>
      <c r="I8">
        <v>17</v>
      </c>
    </row>
    <row r="9" spans="1:12" x14ac:dyDescent="0.35">
      <c r="E9" s="4" t="s">
        <v>159</v>
      </c>
      <c r="F9">
        <v>43</v>
      </c>
      <c r="G9">
        <v>37</v>
      </c>
      <c r="H9">
        <v>20</v>
      </c>
      <c r="I9">
        <v>100</v>
      </c>
    </row>
    <row r="11" spans="1:12" x14ac:dyDescent="0.35">
      <c r="A11" s="3" t="s">
        <v>158</v>
      </c>
      <c r="B11" t="s">
        <v>186</v>
      </c>
      <c r="E11" s="3" t="s">
        <v>158</v>
      </c>
      <c r="F11" t="s">
        <v>186</v>
      </c>
    </row>
    <row r="12" spans="1:12" x14ac:dyDescent="0.35">
      <c r="A12" s="4" t="s">
        <v>56</v>
      </c>
      <c r="B12" s="2">
        <v>417.8191470588236</v>
      </c>
      <c r="E12" s="4" t="s">
        <v>56</v>
      </c>
      <c r="F12" s="2">
        <v>417.8191470588236</v>
      </c>
    </row>
    <row r="13" spans="1:12" x14ac:dyDescent="0.35">
      <c r="A13" s="4" t="s">
        <v>47</v>
      </c>
      <c r="B13" s="2">
        <v>541.74756071428567</v>
      </c>
      <c r="E13" s="4" t="s">
        <v>47</v>
      </c>
      <c r="F13" s="2">
        <v>541.74756071428567</v>
      </c>
    </row>
    <row r="14" spans="1:12" x14ac:dyDescent="0.35">
      <c r="A14" s="4" t="s">
        <v>31</v>
      </c>
      <c r="B14" s="2">
        <v>553.38597931034485</v>
      </c>
      <c r="E14" s="4" t="s">
        <v>31</v>
      </c>
      <c r="F14" s="2">
        <v>553.38597931034485</v>
      </c>
    </row>
    <row r="15" spans="1:12" x14ac:dyDescent="0.35">
      <c r="A15" s="4" t="s">
        <v>40</v>
      </c>
      <c r="B15" s="2">
        <v>561.71258846153853</v>
      </c>
      <c r="E15" s="4" t="s">
        <v>40</v>
      </c>
      <c r="F15" s="2">
        <v>561.71258846153853</v>
      </c>
    </row>
    <row r="16" spans="1:12" x14ac:dyDescent="0.35">
      <c r="A16" s="4" t="s">
        <v>159</v>
      </c>
      <c r="B16" s="2">
        <v>529.24577900000031</v>
      </c>
      <c r="E16" s="4" t="s">
        <v>159</v>
      </c>
      <c r="F16" s="2">
        <v>529.24577900000031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20FDF-FD73-4757-A5C3-0DCB71D09707}">
  <dimension ref="A3:N20"/>
  <sheetViews>
    <sheetView topLeftCell="B1" workbookViewId="0">
      <selection activeCell="J3" sqref="J3"/>
    </sheetView>
  </sheetViews>
  <sheetFormatPr defaultRowHeight="14.5" x14ac:dyDescent="0.35"/>
  <cols>
    <col min="1" max="1" width="12.453125" bestFit="1" customWidth="1"/>
    <col min="2" max="2" width="20" bestFit="1" customWidth="1"/>
    <col min="5" max="5" width="12.453125" bestFit="1" customWidth="1"/>
  </cols>
  <sheetData>
    <row r="3" spans="1:14" x14ac:dyDescent="0.35">
      <c r="A3" s="3" t="s">
        <v>158</v>
      </c>
      <c r="B3" t="s">
        <v>179</v>
      </c>
      <c r="E3" s="3" t="s">
        <v>158</v>
      </c>
      <c r="F3" t="s">
        <v>184</v>
      </c>
      <c r="G3" t="s">
        <v>182</v>
      </c>
      <c r="J3" s="3" t="s">
        <v>179</v>
      </c>
      <c r="K3" s="3" t="s">
        <v>168</v>
      </c>
    </row>
    <row r="4" spans="1:14" x14ac:dyDescent="0.35">
      <c r="A4" s="4" t="s">
        <v>46</v>
      </c>
      <c r="B4">
        <v>36</v>
      </c>
      <c r="E4" s="4" t="s">
        <v>39</v>
      </c>
      <c r="F4">
        <v>1.8036298148148147</v>
      </c>
      <c r="G4" s="2">
        <v>45.254033333333339</v>
      </c>
      <c r="J4" s="3" t="s">
        <v>158</v>
      </c>
      <c r="K4" t="s">
        <v>157</v>
      </c>
      <c r="L4" t="s">
        <v>155</v>
      </c>
      <c r="M4" t="s">
        <v>156</v>
      </c>
      <c r="N4" t="s">
        <v>159</v>
      </c>
    </row>
    <row r="5" spans="1:14" x14ac:dyDescent="0.35">
      <c r="A5" s="4" t="s">
        <v>64</v>
      </c>
      <c r="B5">
        <v>23</v>
      </c>
      <c r="E5" s="4" t="s">
        <v>52</v>
      </c>
      <c r="F5">
        <v>2.3373974999999998</v>
      </c>
      <c r="G5" s="2">
        <v>62.709738888888893</v>
      </c>
      <c r="J5" s="4" t="s">
        <v>46</v>
      </c>
      <c r="K5">
        <v>10</v>
      </c>
      <c r="L5">
        <v>13</v>
      </c>
      <c r="M5">
        <v>13</v>
      </c>
      <c r="N5">
        <v>36</v>
      </c>
    </row>
    <row r="6" spans="1:14" x14ac:dyDescent="0.35">
      <c r="A6" s="4" t="s">
        <v>30</v>
      </c>
      <c r="B6">
        <v>41</v>
      </c>
      <c r="E6" s="4" t="s">
        <v>61</v>
      </c>
      <c r="F6">
        <v>2.3627500909090915</v>
      </c>
      <c r="G6" s="2">
        <v>41.622518181818187</v>
      </c>
      <c r="J6" s="4" t="s">
        <v>64</v>
      </c>
      <c r="K6">
        <v>6</v>
      </c>
      <c r="L6">
        <v>6</v>
      </c>
      <c r="M6">
        <v>11</v>
      </c>
      <c r="N6">
        <v>23</v>
      </c>
    </row>
    <row r="7" spans="1:14" x14ac:dyDescent="0.35">
      <c r="A7" s="4" t="s">
        <v>159</v>
      </c>
      <c r="B7">
        <v>100</v>
      </c>
      <c r="E7" s="4" t="s">
        <v>28</v>
      </c>
      <c r="F7">
        <v>2.4657860666666664</v>
      </c>
      <c r="G7" s="2">
        <v>43.634133333333338</v>
      </c>
      <c r="J7" s="4" t="s">
        <v>30</v>
      </c>
      <c r="K7">
        <v>10</v>
      </c>
      <c r="L7">
        <v>15</v>
      </c>
      <c r="M7">
        <v>16</v>
      </c>
      <c r="N7">
        <v>41</v>
      </c>
    </row>
    <row r="8" spans="1:14" x14ac:dyDescent="0.35">
      <c r="E8" s="4" t="s">
        <v>44</v>
      </c>
      <c r="F8">
        <v>2.6654083888888889</v>
      </c>
      <c r="G8" s="2">
        <v>44.768227777777774</v>
      </c>
      <c r="J8" s="4" t="s">
        <v>159</v>
      </c>
      <c r="K8">
        <v>26</v>
      </c>
      <c r="L8">
        <v>34</v>
      </c>
      <c r="M8">
        <v>40</v>
      </c>
      <c r="N8">
        <v>100</v>
      </c>
    </row>
    <row r="9" spans="1:14" x14ac:dyDescent="0.35">
      <c r="E9" s="4" t="s">
        <v>159</v>
      </c>
      <c r="F9">
        <v>2.2771580400000002</v>
      </c>
      <c r="G9" s="2">
        <v>47.266696999999994</v>
      </c>
    </row>
    <row r="10" spans="1:14" x14ac:dyDescent="0.35">
      <c r="A10" s="3" t="s">
        <v>158</v>
      </c>
      <c r="B10" t="s">
        <v>184</v>
      </c>
      <c r="J10" s="3" t="s">
        <v>158</v>
      </c>
      <c r="K10" t="s">
        <v>179</v>
      </c>
    </row>
    <row r="11" spans="1:14" x14ac:dyDescent="0.35">
      <c r="A11" s="4" t="s">
        <v>157</v>
      </c>
      <c r="B11">
        <v>1.9192870384615384</v>
      </c>
      <c r="J11" s="4" t="s">
        <v>46</v>
      </c>
      <c r="K11">
        <v>36</v>
      </c>
    </row>
    <row r="12" spans="1:14" x14ac:dyDescent="0.35">
      <c r="A12" s="4" t="s">
        <v>155</v>
      </c>
      <c r="B12">
        <v>2.4831502941176473</v>
      </c>
      <c r="J12" s="4" t="s">
        <v>64</v>
      </c>
      <c r="K12">
        <v>23</v>
      </c>
    </row>
    <row r="13" spans="1:14" x14ac:dyDescent="0.35">
      <c r="A13" s="4" t="s">
        <v>156</v>
      </c>
      <c r="B13">
        <v>2.3346807749999998</v>
      </c>
      <c r="J13" s="4" t="s">
        <v>30</v>
      </c>
      <c r="K13">
        <v>41</v>
      </c>
    </row>
    <row r="14" spans="1:14" x14ac:dyDescent="0.35">
      <c r="A14" s="4" t="s">
        <v>159</v>
      </c>
      <c r="B14">
        <v>2.2771580399999998</v>
      </c>
      <c r="E14" s="3" t="s">
        <v>158</v>
      </c>
      <c r="F14" t="s">
        <v>179</v>
      </c>
      <c r="J14" s="4" t="s">
        <v>159</v>
      </c>
      <c r="K14">
        <v>100</v>
      </c>
    </row>
    <row r="15" spans="1:14" x14ac:dyDescent="0.35">
      <c r="E15" s="4" t="s">
        <v>46</v>
      </c>
      <c r="F15">
        <v>36</v>
      </c>
    </row>
    <row r="16" spans="1:14" x14ac:dyDescent="0.35">
      <c r="E16" s="4" t="s">
        <v>64</v>
      </c>
      <c r="F16">
        <v>23</v>
      </c>
    </row>
    <row r="17" spans="5:11" ht="15" thickBot="1" x14ac:dyDescent="0.4">
      <c r="E17" s="4" t="s">
        <v>30</v>
      </c>
      <c r="F17">
        <v>41</v>
      </c>
    </row>
    <row r="18" spans="5:11" x14ac:dyDescent="0.35">
      <c r="E18" s="4" t="s">
        <v>159</v>
      </c>
      <c r="F18">
        <v>100</v>
      </c>
      <c r="I18" s="17"/>
      <c r="J18" s="17" t="s">
        <v>170</v>
      </c>
      <c r="K18" s="17" t="s">
        <v>171</v>
      </c>
    </row>
    <row r="19" spans="5:11" x14ac:dyDescent="0.35">
      <c r="I19" t="s">
        <v>170</v>
      </c>
      <c r="J19">
        <v>1</v>
      </c>
    </row>
    <row r="20" spans="5:11" ht="15" thickBot="1" x14ac:dyDescent="0.4">
      <c r="I20" s="16" t="s">
        <v>171</v>
      </c>
      <c r="J20" s="16">
        <v>-3.0810859558814262E-2</v>
      </c>
      <c r="K20" s="16">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D7777-A1ED-449C-B687-B10C181440F7}">
  <dimension ref="A3:K24"/>
  <sheetViews>
    <sheetView tabSelected="1" topLeftCell="C1" workbookViewId="0">
      <selection activeCell="F13" sqref="F13"/>
    </sheetView>
  </sheetViews>
  <sheetFormatPr defaultRowHeight="14.5" x14ac:dyDescent="0.35"/>
  <cols>
    <col min="1" max="1" width="12.453125" bestFit="1" customWidth="1"/>
    <col min="2" max="2" width="22.26953125" bestFit="1" customWidth="1"/>
    <col min="3" max="3" width="22.54296875" bestFit="1" customWidth="1"/>
    <col min="4" max="4" width="19.7265625" bestFit="1" customWidth="1"/>
    <col min="5" max="5" width="12.453125" bestFit="1" customWidth="1"/>
    <col min="6" max="6" width="19.453125" bestFit="1" customWidth="1"/>
    <col min="7" max="7" width="27.81640625" bestFit="1" customWidth="1"/>
  </cols>
  <sheetData>
    <row r="3" spans="1:11" x14ac:dyDescent="0.35">
      <c r="A3" s="3" t="s">
        <v>158</v>
      </c>
      <c r="B3" t="s">
        <v>196</v>
      </c>
      <c r="C3" t="s">
        <v>197</v>
      </c>
      <c r="E3" s="3" t="s">
        <v>158</v>
      </c>
      <c r="F3" t="s">
        <v>198</v>
      </c>
      <c r="J3" s="3" t="s">
        <v>158</v>
      </c>
      <c r="K3" t="s">
        <v>196</v>
      </c>
    </row>
    <row r="4" spans="1:11" x14ac:dyDescent="0.35">
      <c r="A4" s="4" t="s">
        <v>27</v>
      </c>
      <c r="B4" s="2">
        <v>5.5092441860465122</v>
      </c>
      <c r="C4" s="1">
        <v>5.3023255813953485</v>
      </c>
      <c r="E4" s="4" t="s">
        <v>36</v>
      </c>
      <c r="F4" s="2">
        <v>155.53769999999997</v>
      </c>
      <c r="J4" s="4" t="s">
        <v>36</v>
      </c>
      <c r="K4" s="2">
        <v>5.5549178571428559</v>
      </c>
    </row>
    <row r="5" spans="1:11" x14ac:dyDescent="0.35">
      <c r="A5" s="4" t="s">
        <v>43</v>
      </c>
      <c r="B5" s="2">
        <v>5.5992896551724138</v>
      </c>
      <c r="C5" s="1">
        <v>6.0344827586206895</v>
      </c>
      <c r="E5" s="4" t="s">
        <v>27</v>
      </c>
      <c r="F5" s="2">
        <v>236.89750000000001</v>
      </c>
      <c r="J5" s="4" t="s">
        <v>27</v>
      </c>
      <c r="K5" s="2">
        <v>5.5092441860465122</v>
      </c>
    </row>
    <row r="6" spans="1:11" x14ac:dyDescent="0.35">
      <c r="A6" s="4" t="s">
        <v>36</v>
      </c>
      <c r="B6" s="2">
        <v>5.5549178571428559</v>
      </c>
      <c r="C6" s="1">
        <v>6.1428571428571432</v>
      </c>
      <c r="E6" s="4" t="s">
        <v>43</v>
      </c>
      <c r="F6" s="2">
        <v>162.3794</v>
      </c>
      <c r="J6" s="4" t="s">
        <v>43</v>
      </c>
      <c r="K6" s="2">
        <v>5.5992896551724138</v>
      </c>
    </row>
    <row r="7" spans="1:11" x14ac:dyDescent="0.35">
      <c r="A7" s="4" t="s">
        <v>159</v>
      </c>
      <c r="B7" s="2">
        <v>5.5481459999999991</v>
      </c>
      <c r="C7" s="1">
        <v>5.75</v>
      </c>
      <c r="E7" s="4" t="s">
        <v>159</v>
      </c>
      <c r="F7" s="2">
        <v>554.81460000000004</v>
      </c>
      <c r="J7" s="4" t="s">
        <v>159</v>
      </c>
      <c r="K7" s="2">
        <v>5.5481459999999991</v>
      </c>
    </row>
    <row r="12" spans="1:11" x14ac:dyDescent="0.35">
      <c r="A12" s="3" t="s">
        <v>158</v>
      </c>
      <c r="B12" t="s">
        <v>173</v>
      </c>
      <c r="C12" t="s">
        <v>197</v>
      </c>
      <c r="E12" s="3" t="s">
        <v>158</v>
      </c>
      <c r="F12" t="s">
        <v>198</v>
      </c>
      <c r="G12" t="s">
        <v>166</v>
      </c>
      <c r="J12" s="3" t="s">
        <v>158</v>
      </c>
      <c r="K12" t="s">
        <v>196</v>
      </c>
    </row>
    <row r="13" spans="1:11" x14ac:dyDescent="0.35">
      <c r="A13" s="4" t="s">
        <v>157</v>
      </c>
      <c r="B13" s="1">
        <v>51.653846153846153</v>
      </c>
      <c r="C13" s="1">
        <v>6.5769230769230766</v>
      </c>
      <c r="E13" s="4" t="s">
        <v>155</v>
      </c>
      <c r="F13" s="2">
        <v>200.86350000000002</v>
      </c>
      <c r="G13">
        <v>13611</v>
      </c>
      <c r="J13" s="4" t="s">
        <v>36</v>
      </c>
      <c r="K13" s="2">
        <v>5.5549178571428559</v>
      </c>
    </row>
    <row r="14" spans="1:11" x14ac:dyDescent="0.35">
      <c r="A14" s="4" t="s">
        <v>155</v>
      </c>
      <c r="B14" s="1">
        <v>43.529411764705884</v>
      </c>
      <c r="C14" s="1">
        <v>5.617647058823529</v>
      </c>
      <c r="E14" s="4" t="s">
        <v>156</v>
      </c>
      <c r="F14" s="2">
        <v>196.38749999999996</v>
      </c>
      <c r="G14">
        <v>20731</v>
      </c>
      <c r="J14" s="4" t="s">
        <v>27</v>
      </c>
      <c r="K14" s="2">
        <v>5.5092441860465122</v>
      </c>
    </row>
    <row r="15" spans="1:11" x14ac:dyDescent="0.35">
      <c r="A15" s="4" t="s">
        <v>156</v>
      </c>
      <c r="B15" s="1">
        <v>52.475000000000001</v>
      </c>
      <c r="C15" s="1">
        <v>5.3250000000000002</v>
      </c>
      <c r="E15" s="4" t="s">
        <v>157</v>
      </c>
      <c r="F15" s="2">
        <v>157.56360000000001</v>
      </c>
      <c r="G15">
        <v>11757</v>
      </c>
      <c r="J15" s="4" t="s">
        <v>43</v>
      </c>
      <c r="K15" s="2">
        <v>5.5992896551724138</v>
      </c>
    </row>
    <row r="16" spans="1:11" x14ac:dyDescent="0.35">
      <c r="A16" s="4" t="s">
        <v>159</v>
      </c>
      <c r="B16" s="1">
        <v>49.22</v>
      </c>
      <c r="C16" s="1">
        <v>5.75</v>
      </c>
      <c r="E16" s="4" t="s">
        <v>159</v>
      </c>
      <c r="F16" s="2">
        <v>554.81459999999993</v>
      </c>
      <c r="G16">
        <v>46099</v>
      </c>
      <c r="J16" s="4" t="s">
        <v>159</v>
      </c>
      <c r="K16" s="2">
        <v>5.5481459999999991</v>
      </c>
    </row>
    <row r="21" spans="5:7" ht="15" thickBot="1" x14ac:dyDescent="0.4"/>
    <row r="22" spans="5:7" x14ac:dyDescent="0.35">
      <c r="E22" s="17"/>
      <c r="F22" s="17" t="s">
        <v>170</v>
      </c>
      <c r="G22" s="17" t="s">
        <v>171</v>
      </c>
    </row>
    <row r="23" spans="5:7" x14ac:dyDescent="0.35">
      <c r="E23" t="s">
        <v>170</v>
      </c>
      <c r="F23">
        <v>1</v>
      </c>
    </row>
    <row r="24" spans="5:7" ht="15" thickBot="1" x14ac:dyDescent="0.4">
      <c r="E24" s="16" t="s">
        <v>171</v>
      </c>
      <c r="F24" s="16">
        <v>-2.5609549298482932E-3</v>
      </c>
      <c r="G24" s="16">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A3FF0A-6CD4-4E52-9208-B0B234B324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Supply_chain_data</vt:lpstr>
      <vt:lpstr>Table2</vt:lpstr>
      <vt:lpstr>Product And Sales</vt:lpstr>
      <vt:lpstr>Inventory Analysis</vt:lpstr>
      <vt:lpstr>Supplier Analysis</vt:lpstr>
      <vt:lpstr>logistic analysis</vt:lpstr>
      <vt:lpstr>Quality Analysis</vt:lpstr>
      <vt:lpstr>Shipping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harshith A</dc:creator>
  <cp:lastModifiedBy>harshith A</cp:lastModifiedBy>
  <dcterms:created xsi:type="dcterms:W3CDTF">2026-06-04T05:47:20Z</dcterms:created>
  <dcterms:modified xsi:type="dcterms:W3CDTF">2026-06-16T04:21:46Z</dcterms:modified>
</cp:coreProperties>
</file>